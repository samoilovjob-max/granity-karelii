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  <sheet name="Лист1" sheetId="2" state="visible" r:id="rId4"/>
    <sheet name="Лист2" sheetId="3" state="visible" r:id="rId5"/>
    <sheet name="Наташа 04.07.2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<sst xmlns="http://schemas.openxmlformats.org/spreadsheetml/2006/main" count="136" uniqueCount="48">
  <si>
    <t xml:space="preserve">№</t>
  </si>
  <si>
    <t xml:space="preserve">Наименование</t>
  </si>
  <si>
    <t xml:space="preserve">Материал</t>
  </si>
  <si>
    <t xml:space="preserve">Длина</t>
  </si>
  <si>
    <t xml:space="preserve">Ширина</t>
  </si>
  <si>
    <t xml:space="preserve">Толщина</t>
  </si>
  <si>
    <t xml:space="preserve">Количество</t>
  </si>
  <si>
    <t xml:space="preserve">Объем,м3</t>
  </si>
  <si>
    <t xml:space="preserve">Масса,кг</t>
  </si>
  <si>
    <t xml:space="preserve">1 сторона</t>
  </si>
  <si>
    <t xml:space="preserve">Стела</t>
  </si>
  <si>
    <t xml:space="preserve">Габбро</t>
  </si>
  <si>
    <t xml:space="preserve">Тумба</t>
  </si>
  <si>
    <t xml:space="preserve">Цветник</t>
  </si>
  <si>
    <t xml:space="preserve">2 стороны</t>
  </si>
  <si>
    <t xml:space="preserve">5 сторон</t>
  </si>
  <si>
    <t xml:space="preserve">Итого</t>
  </si>
  <si>
    <t xml:space="preserve">ООО «КАРЕЛЬСКИЙ ГАББРО-ДИАБАЗ» </t>
  </si>
  <si>
    <t xml:space="preserve">г. Петрозаводск, ул. Кирова д. 10</t>
  </si>
  <si>
    <r>
      <rPr>
        <sz val="10"/>
        <color rgb="FF000000"/>
        <rFont val="Arial"/>
        <family val="0"/>
        <charset val="1"/>
      </rPr>
      <t xml:space="preserve">Тел:  +7 </t>
    </r>
    <r>
      <rPr>
        <sz val="10"/>
        <color rgb="FFFF0000"/>
        <rFont val="Arial"/>
        <family val="0"/>
        <charset val="1"/>
      </rPr>
      <t xml:space="preserve">000-000-00-00</t>
    </r>
  </si>
  <si>
    <t xml:space="preserve">сайт:   kgd-stone.com</t>
  </si>
  <si>
    <t xml:space="preserve">E-mail: gabbrork@mail.ru</t>
  </si>
  <si>
    <t xml:space="preserve">Контрагент: ИП; ООО</t>
  </si>
  <si>
    <r>
      <rPr>
        <sz val="10"/>
        <color rgb="FF000000"/>
        <rFont val="Arial"/>
        <family val="0"/>
        <charset val="1"/>
      </rPr>
      <t xml:space="preserve">Дата: </t>
    </r>
    <r>
      <rPr>
        <sz val="10"/>
        <color rgb="FFFF0000"/>
        <rFont val="Arial"/>
        <family val="0"/>
        <charset val="1"/>
      </rPr>
      <t xml:space="preserve">00.00.0000</t>
    </r>
  </si>
  <si>
    <t xml:space="preserve">Цена за шт</t>
  </si>
  <si>
    <t xml:space="preserve">Цена за м3</t>
  </si>
  <si>
    <t xml:space="preserve">Стела </t>
  </si>
  <si>
    <t xml:space="preserve">Общая стоимость</t>
  </si>
  <si>
    <t xml:space="preserve">руб.</t>
  </si>
  <si>
    <t xml:space="preserve">Цена указана без НДС на складе в городе Петрозаводске </t>
  </si>
  <si>
    <t xml:space="preserve">Срок действия данного коммерческого предложения 5 дней</t>
  </si>
  <si>
    <t xml:space="preserve">График оплаты: 50% - предоплата, 50% - при отгрузке</t>
  </si>
  <si>
    <t xml:space="preserve">Размер</t>
  </si>
  <si>
    <t xml:space="preserve">Наименование </t>
  </si>
  <si>
    <t xml:space="preserve">ширина</t>
  </si>
  <si>
    <t xml:space="preserve">толщина</t>
  </si>
  <si>
    <t xml:space="preserve">пол-ка</t>
  </si>
  <si>
    <t xml:space="preserve">кол-во</t>
  </si>
  <si>
    <t xml:space="preserve">объем, м3</t>
  </si>
  <si>
    <t xml:space="preserve">масса, кг</t>
  </si>
  <si>
    <t xml:space="preserve">Цена</t>
  </si>
  <si>
    <t xml:space="preserve">Сумма</t>
  </si>
  <si>
    <t xml:space="preserve">Итого:</t>
  </si>
  <si>
    <t xml:space="preserve">Цена за шт.</t>
  </si>
  <si>
    <t xml:space="preserve">сумма</t>
  </si>
  <si>
    <t xml:space="preserve">цена за м3</t>
  </si>
  <si>
    <t xml:space="preserve">амфиболит</t>
  </si>
  <si>
    <t xml:space="preserve">габбро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</si>
</sst>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#,##0.00\ _₽"/>
    <numFmt numFmtId="168" formatCode="#,##0\ _₽"/>
    <numFmt numFmtId="169" formatCode="#,##0.00"/>
    <numFmt numFmtId="170" formatCode="_-* #,##0.00\ _₽_-;\-* #,##0.00\ _₽_-;_-* \-??\ _₽_-;_-@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rgb="FFFF0000"/>
      <name val="Inconsolata"/>
      <family val="0"/>
      <charset val="1"/>
    </font>
    <font>
      <b val="true"/>
      <sz val="12"/>
      <color rgb="FF000000"/>
      <name val="Inconsolata"/>
      <family val="0"/>
      <charset val="1"/>
    </font>
    <font>
      <sz val="12"/>
      <color theme="1"/>
      <name val="Times New Roman"/>
      <family val="0"/>
      <charset val="1"/>
    </font>
    <font>
      <b val="true"/>
      <sz val="12"/>
      <color theme="1"/>
      <name val="Inconsolata"/>
      <family val="0"/>
      <charset val="1"/>
    </font>
    <font>
      <sz val="12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D9E6FC"/>
      </patternFill>
    </fill>
    <fill>
      <patternFill patternType="solid">
        <fgColor rgb="FFFFFF00"/>
        <bgColor rgb="FFFFFF00"/>
      </patternFill>
    </fill>
    <fill>
      <patternFill patternType="solid">
        <fgColor rgb="FFD9E6FC"/>
        <bgColor rgb="FFD2F1DA"/>
      </patternFill>
    </fill>
    <fill>
      <patternFill patternType="solid">
        <fgColor rgb="FFD2F1DA"/>
        <bgColor rgb="FFD9E6FC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1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801360</xdr:colOff>
      <xdr:row>3</xdr:row>
      <xdr:rowOff>142920</xdr:rowOff>
    </xdr:from>
    <xdr:to>
      <xdr:col>11</xdr:col>
      <xdr:colOff>174960</xdr:colOff>
      <xdr:row>9</xdr:row>
      <xdr:rowOff>75960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605200" y="743040"/>
          <a:ext cx="3057120" cy="1238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22.95"/>
    <col collapsed="false" customWidth="true" hidden="false" outlineLevel="0" max="3" min="3" style="0" width="9.88"/>
    <col collapsed="false" customWidth="true" hidden="false" outlineLevel="0" max="4" min="4" style="0" width="6.63"/>
    <col collapsed="false" customWidth="true" hidden="false" outlineLevel="0" max="5" min="5" style="0" width="7.25"/>
    <col collapsed="false" customWidth="true" hidden="false" outlineLevel="0" max="6" min="6" style="0" width="8.38"/>
    <col collapsed="false" customWidth="true" hidden="false" outlineLevel="0" max="9" min="7" style="0" width="11.38"/>
    <col collapsed="false" customWidth="true" hidden="false" outlineLevel="0" max="10" min="10" style="0" width="7.5"/>
    <col collapsed="false" customWidth="true" hidden="false" outlineLevel="0" max="11" min="11" style="0" width="10"/>
    <col collapsed="false" customWidth="true" hidden="false" outlineLevel="0" max="16384" min="16382" style="0" width="11.53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54.75" hidden="false" customHeight="true" outlineLevel="0" collapsed="false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4"/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9.5" hidden="false" customHeight="true" outlineLevel="0" collapsed="false">
      <c r="A4" s="6" t="s">
        <v>9</v>
      </c>
      <c r="B4" s="7" t="s">
        <v>10</v>
      </c>
      <c r="C4" s="8" t="s">
        <v>11</v>
      </c>
      <c r="D4" s="9" t="n">
        <v>0</v>
      </c>
      <c r="E4" s="9" t="n">
        <v>0</v>
      </c>
      <c r="F4" s="9" t="n">
        <v>0</v>
      </c>
      <c r="G4" s="8" t="n">
        <v>0</v>
      </c>
      <c r="H4" s="8" t="n">
        <f aca="false">(D4*E4*F4/1000000000)*G4</f>
        <v>0</v>
      </c>
      <c r="I4" s="8" t="n">
        <f aca="false">(D4*E4*F4*3200/1000000000)*G4</f>
        <v>0</v>
      </c>
      <c r="J4" s="10"/>
      <c r="K4" s="10"/>
      <c r="L4" s="10"/>
      <c r="M4" s="11"/>
    </row>
    <row r="5" customFormat="false" ht="19.5" hidden="false" customHeight="true" outlineLevel="0" collapsed="false">
      <c r="A5" s="6"/>
      <c r="B5" s="12" t="s">
        <v>12</v>
      </c>
      <c r="C5" s="13" t="s">
        <v>11</v>
      </c>
      <c r="D5" s="14" t="n">
        <v>0</v>
      </c>
      <c r="E5" s="14" t="n">
        <v>0</v>
      </c>
      <c r="F5" s="14" t="n">
        <v>0</v>
      </c>
      <c r="G5" s="13" t="n">
        <v>0</v>
      </c>
      <c r="H5" s="13" t="n">
        <f aca="false">(D5*E5*F5/1000000000)*G5</f>
        <v>0</v>
      </c>
      <c r="I5" s="13" t="n">
        <f aca="false">(D5*E5*F5*3200/1000000000)*G5</f>
        <v>0</v>
      </c>
      <c r="J5" s="10"/>
      <c r="K5" s="10"/>
      <c r="L5" s="10"/>
      <c r="M5" s="11"/>
    </row>
    <row r="6" customFormat="false" ht="19.5" hidden="false" customHeight="true" outlineLevel="0" collapsed="false">
      <c r="A6" s="6"/>
      <c r="B6" s="15" t="s">
        <v>13</v>
      </c>
      <c r="C6" s="16" t="s">
        <v>11</v>
      </c>
      <c r="D6" s="17" t="n">
        <v>0</v>
      </c>
      <c r="E6" s="17" t="n">
        <v>0</v>
      </c>
      <c r="F6" s="17" t="n">
        <v>0</v>
      </c>
      <c r="G6" s="16" t="n">
        <v>0</v>
      </c>
      <c r="H6" s="16" t="n">
        <f aca="false">(D6*E6*F6/1000000000)*G6</f>
        <v>0</v>
      </c>
      <c r="I6" s="16" t="n">
        <f aca="false">(D6*E6*F6*3200/1000000000)*G6</f>
        <v>0</v>
      </c>
      <c r="J6" s="10"/>
      <c r="K6" s="10"/>
      <c r="L6" s="10"/>
      <c r="M6" s="11"/>
    </row>
    <row r="7" customFormat="false" ht="19.5" hidden="false" customHeight="true" outlineLevel="0" collapsed="false">
      <c r="A7" s="18" t="s">
        <v>14</v>
      </c>
      <c r="B7" s="7" t="s">
        <v>10</v>
      </c>
      <c r="C7" s="8" t="s">
        <v>11</v>
      </c>
      <c r="D7" s="9" t="n">
        <v>0</v>
      </c>
      <c r="E7" s="9" t="n">
        <v>0</v>
      </c>
      <c r="F7" s="9" t="n">
        <v>0</v>
      </c>
      <c r="G7" s="8"/>
      <c r="H7" s="8" t="n">
        <f aca="false">(D7*E7*F7/1000000000)*G7</f>
        <v>0</v>
      </c>
      <c r="I7" s="8" t="n">
        <f aca="false">(D7*E7*F7*3200/1000000000)*G7</f>
        <v>0</v>
      </c>
      <c r="K7" s="10"/>
      <c r="L7" s="10"/>
      <c r="M7" s="11"/>
    </row>
    <row r="8" customFormat="false" ht="19.5" hidden="false" customHeight="true" outlineLevel="0" collapsed="false">
      <c r="A8" s="18"/>
      <c r="B8" s="12" t="s">
        <v>12</v>
      </c>
      <c r="C8" s="13" t="s">
        <v>11</v>
      </c>
      <c r="D8" s="14" t="n">
        <v>0</v>
      </c>
      <c r="E8" s="14" t="n">
        <v>0</v>
      </c>
      <c r="F8" s="14" t="n">
        <v>0</v>
      </c>
      <c r="G8" s="13"/>
      <c r="H8" s="13" t="n">
        <f aca="false">(D8*E8*F8/1000000000)*G8</f>
        <v>0</v>
      </c>
      <c r="I8" s="13" t="n">
        <f aca="false">(D8*E8*F8*3200/1000000000)*G8</f>
        <v>0</v>
      </c>
      <c r="K8" s="10"/>
      <c r="L8" s="10"/>
      <c r="M8" s="11"/>
    </row>
    <row r="9" customFormat="false" ht="19.5" hidden="false" customHeight="true" outlineLevel="0" collapsed="false">
      <c r="A9" s="18"/>
      <c r="B9" s="15" t="s">
        <v>13</v>
      </c>
      <c r="C9" s="16" t="s">
        <v>11</v>
      </c>
      <c r="D9" s="17" t="n">
        <v>0</v>
      </c>
      <c r="E9" s="17" t="n">
        <v>0</v>
      </c>
      <c r="F9" s="17" t="n">
        <v>0</v>
      </c>
      <c r="G9" s="16"/>
      <c r="H9" s="16" t="n">
        <f aca="false">(D9*E9*F9/1000000000)*G9</f>
        <v>0</v>
      </c>
      <c r="I9" s="16" t="n">
        <f aca="false">(D9*E9*F9*3200/1000000000)*G9</f>
        <v>0</v>
      </c>
      <c r="K9" s="10"/>
      <c r="L9" s="10"/>
      <c r="M9" s="11"/>
    </row>
    <row r="10" customFormat="false" ht="19.5" hidden="false" customHeight="true" outlineLevel="0" collapsed="false">
      <c r="A10" s="6" t="s">
        <v>15</v>
      </c>
      <c r="B10" s="19" t="s">
        <v>10</v>
      </c>
      <c r="C10" s="20" t="s">
        <v>11</v>
      </c>
      <c r="D10" s="9" t="n">
        <v>0</v>
      </c>
      <c r="E10" s="9" t="n">
        <v>0</v>
      </c>
      <c r="F10" s="9" t="n">
        <v>0</v>
      </c>
      <c r="G10" s="20"/>
      <c r="H10" s="20" t="n">
        <f aca="false">(D10*E10*F10/1000000000)*G10</f>
        <v>0</v>
      </c>
      <c r="I10" s="20" t="n">
        <f aca="false">(D10*E10*F10*3200/1000000000)*G10</f>
        <v>0</v>
      </c>
      <c r="K10" s="10"/>
      <c r="L10" s="10"/>
      <c r="M10" s="11"/>
    </row>
    <row r="11" customFormat="false" ht="19.5" hidden="false" customHeight="true" outlineLevel="0" collapsed="false">
      <c r="A11" s="6"/>
      <c r="B11" s="21" t="s">
        <v>12</v>
      </c>
      <c r="C11" s="22" t="s">
        <v>11</v>
      </c>
      <c r="D11" s="14" t="n">
        <v>0</v>
      </c>
      <c r="E11" s="14" t="n">
        <v>0</v>
      </c>
      <c r="F11" s="14" t="n">
        <v>0</v>
      </c>
      <c r="G11" s="23"/>
      <c r="H11" s="22" t="n">
        <f aca="false">(D11*E11*F11/1000000000)*G11</f>
        <v>0</v>
      </c>
      <c r="I11" s="22" t="n">
        <f aca="false">(D11*E11*F11*3200/1000000000)*G11</f>
        <v>0</v>
      </c>
      <c r="K11" s="10"/>
      <c r="L11" s="10"/>
      <c r="M11" s="11"/>
    </row>
    <row r="12" customFormat="false" ht="19.5" hidden="false" customHeight="true" outlineLevel="0" collapsed="false">
      <c r="A12" s="6"/>
      <c r="B12" s="24" t="s">
        <v>13</v>
      </c>
      <c r="C12" s="25" t="s">
        <v>11</v>
      </c>
      <c r="D12" s="17" t="n">
        <v>0</v>
      </c>
      <c r="E12" s="17" t="n">
        <v>0</v>
      </c>
      <c r="F12" s="17" t="n">
        <v>0</v>
      </c>
      <c r="G12" s="25"/>
      <c r="H12" s="25" t="n">
        <f aca="false">(D12*E12*F12/1000000000)*G12</f>
        <v>0</v>
      </c>
      <c r="I12" s="25" t="n">
        <f aca="false">(D12*E12*F12*3200/1000000000)*G12</f>
        <v>0</v>
      </c>
      <c r="K12" s="10"/>
      <c r="L12" s="10"/>
      <c r="M12" s="11"/>
    </row>
    <row r="13" customFormat="false" ht="15.75" hidden="false" customHeight="true" outlineLevel="0" collapsed="false">
      <c r="A13" s="26" t="s">
        <v>16</v>
      </c>
      <c r="B13" s="26"/>
      <c r="C13" s="26"/>
      <c r="D13" s="26"/>
      <c r="E13" s="26"/>
      <c r="F13" s="26"/>
      <c r="G13" s="27" t="n">
        <f aca="false">SUM(G4:G12)</f>
        <v>0</v>
      </c>
      <c r="H13" s="27" t="n">
        <f aca="false">SUM(H4:H12)</f>
        <v>0</v>
      </c>
      <c r="I13" s="27" t="n">
        <f aca="false">SUM(I4:I12)</f>
        <v>0</v>
      </c>
    </row>
    <row r="14" customFormat="false" ht="15.75" hidden="false" customHeight="true" outlineLevel="0" collapsed="false">
      <c r="B14" s="28"/>
      <c r="C14" s="28"/>
    </row>
    <row r="15" customFormat="false" ht="15.75" hidden="false" customHeight="true" outlineLevel="0" collapsed="false">
      <c r="B15" s="28"/>
      <c r="C15" s="28"/>
    </row>
    <row r="16" customFormat="false" ht="15.75" hidden="false" customHeight="true" outlineLevel="0" collapsed="false">
      <c r="B16" s="28"/>
      <c r="C16" s="28"/>
    </row>
    <row r="17" customFormat="false" ht="15.75" hidden="false" customHeight="true" outlineLevel="0" collapsed="false">
      <c r="B17" s="28"/>
      <c r="C17" s="28"/>
    </row>
    <row r="18" customFormat="false" ht="15.75" hidden="false" customHeight="true" outlineLevel="0" collapsed="false">
      <c r="B18" s="28"/>
      <c r="C18" s="28"/>
    </row>
    <row r="19" customFormat="false" ht="15.75" hidden="false" customHeight="true" outlineLevel="0" collapsed="false">
      <c r="B19" s="28"/>
      <c r="C19" s="28"/>
    </row>
    <row r="20" customFormat="false" ht="15.75" hidden="false" customHeight="true" outlineLevel="0" collapsed="false">
      <c r="B20" s="28"/>
      <c r="C20" s="28"/>
    </row>
    <row r="21" customFormat="false" ht="15.75" hidden="false" customHeight="true" outlineLevel="0" collapsed="false">
      <c r="B21" s="28"/>
      <c r="C21" s="28"/>
    </row>
    <row r="22" customFormat="false" ht="15.75" hidden="false" customHeight="true" outlineLevel="0" collapsed="false">
      <c r="B22" s="28"/>
      <c r="C22" s="28"/>
    </row>
    <row r="23" customFormat="false" ht="15.75" hidden="false" customHeight="true" outlineLevel="0" collapsed="false">
      <c r="B23" s="28"/>
      <c r="C23" s="28"/>
    </row>
    <row r="24" customFormat="false" ht="15.75" hidden="false" customHeight="true" outlineLevel="0" collapsed="false">
      <c r="B24" s="28"/>
      <c r="C24" s="28"/>
    </row>
    <row r="25" customFormat="false" ht="15.75" hidden="false" customHeight="true" outlineLevel="0" collapsed="false">
      <c r="B25" s="28"/>
      <c r="C25" s="28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">
    <mergeCell ref="A4:A6"/>
    <mergeCell ref="A7:A9"/>
    <mergeCell ref="A10:A12"/>
    <mergeCell ref="A13:F13"/>
  </mergeCells>
  <dataValidations count="2">
    <dataValidation allowBlank="true" errorStyle="stop" operator="between" showDropDown="false" showErrorMessage="false" showInputMessage="false" sqref="C4:C12" type="custom">
      <formula1>"Стела;Тумба;Цветник"</formula1>
      <formula2>0</formula2>
    </dataValidation>
    <dataValidation allowBlank="true" errorStyle="stop" operator="between" showDropDown="false" showErrorMessage="false" showInputMessage="false" sqref="B4:B12 B14:C25" type="list">
      <formula1>"Стела,Тумба,Цветник"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13.13"/>
    <col collapsed="false" customWidth="true" hidden="false" outlineLevel="0" max="3" min="3" style="0" width="9.88"/>
    <col collapsed="false" customWidth="true" hidden="false" outlineLevel="0" max="4" min="4" style="0" width="6.63"/>
    <col collapsed="false" customWidth="true" hidden="false" outlineLevel="0" max="5" min="5" style="0" width="7.25"/>
    <col collapsed="false" customWidth="true" hidden="false" outlineLevel="0" max="6" min="6" style="0" width="8.38"/>
    <col collapsed="false" customWidth="true" hidden="false" outlineLevel="0" max="9" min="7" style="0" width="11.38"/>
    <col collapsed="false" customWidth="true" hidden="false" outlineLevel="0" max="10" min="10" style="0" width="15"/>
    <col collapsed="false" customWidth="true" hidden="false" outlineLevel="0" max="11" min="11" style="0" width="14.51"/>
    <col collapsed="false" customWidth="true" hidden="false" outlineLevel="0" max="12" min="12" style="0" width="10"/>
    <col collapsed="false" customWidth="true" hidden="false" outlineLevel="0" max="13" min="13" style="0" width="7.5"/>
    <col collapsed="false" customWidth="true" hidden="false" outlineLevel="0" max="14" min="14" style="0" width="10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24" hidden="false" customHeight="true" outlineLevel="0" collapsed="false">
      <c r="A4" s="29" t="s">
        <v>17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customFormat="false" ht="15.75" hidden="false" customHeight="true" outlineLevel="0" collapsed="false">
      <c r="A5" s="1" t="s">
        <v>18</v>
      </c>
      <c r="B5" s="1"/>
      <c r="C5" s="1"/>
      <c r="D5" s="30"/>
      <c r="E5" s="1"/>
      <c r="F5" s="1"/>
      <c r="G5" s="1"/>
      <c r="H5" s="1"/>
      <c r="I5" s="1"/>
      <c r="J5" s="1"/>
      <c r="K5" s="1"/>
    </row>
    <row r="6" customFormat="false" ht="15.75" hidden="false" customHeight="true" outlineLevel="0" collapsed="false">
      <c r="A6" s="1" t="s">
        <v>19</v>
      </c>
      <c r="B6" s="1"/>
      <c r="C6" s="1"/>
      <c r="D6" s="30"/>
      <c r="E6" s="1"/>
      <c r="F6" s="1"/>
      <c r="G6" s="1"/>
      <c r="H6" s="1"/>
      <c r="I6" s="1"/>
      <c r="J6" s="1"/>
      <c r="K6" s="1"/>
    </row>
    <row r="7" customFormat="false" ht="15.75" hidden="false" customHeight="true" outlineLevel="0" collapsed="false">
      <c r="A7" s="1" t="s">
        <v>20</v>
      </c>
      <c r="B7" s="1"/>
      <c r="C7" s="1"/>
      <c r="D7" s="30"/>
      <c r="E7" s="1"/>
      <c r="F7" s="1"/>
      <c r="G7" s="1"/>
      <c r="H7" s="1"/>
      <c r="I7" s="1"/>
      <c r="J7" s="1"/>
      <c r="K7" s="1"/>
    </row>
    <row r="8" customFormat="false" ht="15.75" hidden="false" customHeight="true" outlineLevel="0" collapsed="false">
      <c r="A8" s="1" t="s">
        <v>21</v>
      </c>
      <c r="B8" s="1"/>
      <c r="C8" s="1"/>
      <c r="D8" s="30"/>
      <c r="E8" s="1"/>
      <c r="F8" s="1"/>
      <c r="G8" s="1"/>
      <c r="H8" s="1"/>
      <c r="I8" s="1"/>
      <c r="J8" s="1"/>
      <c r="K8" s="1"/>
    </row>
    <row r="9" customFormat="false" ht="15.75" hidden="false" customHeight="true" outlineLevel="0" collapsed="false">
      <c r="A9" s="1" t="s">
        <v>22</v>
      </c>
      <c r="B9" s="1"/>
      <c r="C9" s="1"/>
      <c r="D9" s="30"/>
      <c r="E9" s="1"/>
      <c r="F9" s="1"/>
      <c r="G9" s="1"/>
      <c r="H9" s="1"/>
      <c r="I9" s="1"/>
      <c r="J9" s="1"/>
      <c r="K9" s="1"/>
    </row>
    <row r="10" customFormat="false" ht="15.75" hidden="false" customHeight="true" outlineLevel="0" collapsed="false">
      <c r="A10" s="1" t="s">
        <v>23</v>
      </c>
      <c r="B10" s="1"/>
      <c r="C10" s="1"/>
      <c r="D10" s="30"/>
      <c r="E10" s="1"/>
      <c r="F10" s="1"/>
      <c r="G10" s="1"/>
      <c r="H10" s="1"/>
      <c r="I10" s="1"/>
      <c r="J10" s="1"/>
      <c r="K10" s="1"/>
    </row>
    <row r="11" customFormat="false" ht="15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54.75" hidden="false" customHeight="true" outlineLevel="0" collapsed="false">
      <c r="A12" s="2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1" t="s">
        <v>24</v>
      </c>
      <c r="K12" s="32" t="s">
        <v>16</v>
      </c>
      <c r="L12" s="33" t="s">
        <v>25</v>
      </c>
      <c r="M12" s="4"/>
      <c r="N12" s="5"/>
      <c r="O12" s="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9.5" hidden="false" customHeight="true" outlineLevel="0" collapsed="false">
      <c r="A13" s="6" t="s">
        <v>9</v>
      </c>
      <c r="B13" s="7" t="s">
        <v>10</v>
      </c>
      <c r="C13" s="8" t="s">
        <v>11</v>
      </c>
      <c r="D13" s="9" t="n">
        <v>800</v>
      </c>
      <c r="E13" s="9" t="n">
        <v>400</v>
      </c>
      <c r="F13" s="9" t="n">
        <v>80</v>
      </c>
      <c r="G13" s="8" t="n">
        <v>10</v>
      </c>
      <c r="H13" s="8" t="n">
        <f aca="false">(D13*E13*F13/1000000000)*G13</f>
        <v>0.256</v>
      </c>
      <c r="I13" s="8" t="n">
        <f aca="false">(D13*E13*F13*3200/1000000000)*G13</f>
        <v>819.2</v>
      </c>
      <c r="J13" s="34" t="n">
        <v>5953</v>
      </c>
      <c r="K13" s="35" t="n">
        <f aca="false">G13*J13</f>
        <v>59530</v>
      </c>
      <c r="L13" s="36" t="n">
        <f aca="false">K13/H13</f>
        <v>232539.0625</v>
      </c>
      <c r="M13" s="10"/>
      <c r="N13" s="10"/>
      <c r="O13" s="10"/>
      <c r="P13" s="11" t="n">
        <f aca="false">J13/1.28</f>
        <v>4650.78125</v>
      </c>
    </row>
    <row r="14" customFormat="false" ht="19.5" hidden="false" customHeight="true" outlineLevel="0" collapsed="false">
      <c r="A14" s="6"/>
      <c r="B14" s="12" t="s">
        <v>26</v>
      </c>
      <c r="C14" s="13" t="s">
        <v>11</v>
      </c>
      <c r="D14" s="14" t="n">
        <v>1000</v>
      </c>
      <c r="E14" s="14" t="n">
        <v>500</v>
      </c>
      <c r="F14" s="14" t="n">
        <v>80</v>
      </c>
      <c r="G14" s="13" t="n">
        <v>15</v>
      </c>
      <c r="H14" s="13" t="n">
        <f aca="false">(D14*E14*F14/1000000000)*G14</f>
        <v>0.6</v>
      </c>
      <c r="I14" s="13" t="n">
        <f aca="false">(D14*E14*F14*3200/1000000000)*G14</f>
        <v>1920</v>
      </c>
      <c r="J14" s="34" t="n">
        <v>9302</v>
      </c>
      <c r="K14" s="35" t="n">
        <f aca="false">G14*J14</f>
        <v>139530</v>
      </c>
      <c r="L14" s="37" t="n">
        <f aca="false">K14/H14</f>
        <v>232550</v>
      </c>
      <c r="M14" s="10"/>
      <c r="N14" s="10"/>
      <c r="O14" s="10"/>
      <c r="P14" s="11" t="n">
        <f aca="false">J14/1.28</f>
        <v>7267.1875</v>
      </c>
    </row>
    <row r="15" customFormat="false" ht="19.5" hidden="false" customHeight="true" outlineLevel="0" collapsed="false">
      <c r="A15" s="6"/>
      <c r="B15" s="15" t="s">
        <v>10</v>
      </c>
      <c r="C15" s="16" t="s">
        <v>11</v>
      </c>
      <c r="D15" s="17" t="n">
        <v>1000</v>
      </c>
      <c r="E15" s="17" t="n">
        <v>600</v>
      </c>
      <c r="F15" s="17" t="n">
        <v>80</v>
      </c>
      <c r="G15" s="16" t="n">
        <v>3</v>
      </c>
      <c r="H15" s="16" t="n">
        <f aca="false">(D15*E15*F15/1000000000)*G15</f>
        <v>0.144</v>
      </c>
      <c r="I15" s="16" t="n">
        <f aca="false">(D15*E15*F15*3200/1000000000)*G15</f>
        <v>460.8</v>
      </c>
      <c r="J15" s="34" t="n">
        <v>11163</v>
      </c>
      <c r="K15" s="35" t="n">
        <f aca="false">G15*J15</f>
        <v>33489</v>
      </c>
      <c r="L15" s="38" t="n">
        <f aca="false">K15/H15</f>
        <v>232562.5</v>
      </c>
      <c r="M15" s="10"/>
      <c r="N15" s="10"/>
      <c r="O15" s="10"/>
      <c r="P15" s="11" t="n">
        <f aca="false">J15/1.28</f>
        <v>8721.09375</v>
      </c>
    </row>
    <row r="16" customFormat="false" ht="19.5" hidden="false" customHeight="true" outlineLevel="0" collapsed="false">
      <c r="A16" s="18" t="s">
        <v>14</v>
      </c>
      <c r="B16" s="7" t="s">
        <v>12</v>
      </c>
      <c r="C16" s="8" t="s">
        <v>11</v>
      </c>
      <c r="D16" s="9" t="n">
        <v>500</v>
      </c>
      <c r="E16" s="9" t="n">
        <v>200</v>
      </c>
      <c r="F16" s="9" t="n">
        <v>120</v>
      </c>
      <c r="G16" s="8" t="n">
        <v>10</v>
      </c>
      <c r="H16" s="8" t="n">
        <f aca="false">(D16*E16*F16/1000000000)*G16</f>
        <v>0.12</v>
      </c>
      <c r="I16" s="8" t="n">
        <f aca="false">(D16*E16*F16*3200/1000000000)*G16</f>
        <v>384</v>
      </c>
      <c r="J16" s="34" t="n">
        <v>3616</v>
      </c>
      <c r="K16" s="35" t="n">
        <f aca="false">G16*J16</f>
        <v>36160</v>
      </c>
      <c r="L16" s="36" t="n">
        <f aca="false">K16/H16</f>
        <v>301333.333333333</v>
      </c>
      <c r="N16" s="10"/>
      <c r="O16" s="10"/>
      <c r="P16" s="11" t="n">
        <f aca="false">J16/1.28</f>
        <v>2825</v>
      </c>
    </row>
    <row r="17" customFormat="false" ht="19.5" hidden="false" customHeight="true" outlineLevel="0" collapsed="false">
      <c r="A17" s="18"/>
      <c r="B17" s="12" t="s">
        <v>12</v>
      </c>
      <c r="C17" s="13" t="s">
        <v>11</v>
      </c>
      <c r="D17" s="14" t="n">
        <v>500</v>
      </c>
      <c r="E17" s="14" t="n">
        <v>200</v>
      </c>
      <c r="F17" s="14" t="n">
        <v>150</v>
      </c>
      <c r="G17" s="13" t="n">
        <v>15</v>
      </c>
      <c r="H17" s="13" t="n">
        <f aca="false">(D17*E17*F17/1000000000)*G17</f>
        <v>0.225</v>
      </c>
      <c r="I17" s="13" t="n">
        <f aca="false">(D17*E17*F17*3200/1000000000)*G17</f>
        <v>720</v>
      </c>
      <c r="J17" s="34" t="n">
        <v>3616</v>
      </c>
      <c r="K17" s="35" t="n">
        <f aca="false">G17*J17</f>
        <v>54240</v>
      </c>
      <c r="L17" s="37" t="n">
        <f aca="false">K17/H17</f>
        <v>241066.666666667</v>
      </c>
      <c r="N17" s="10"/>
      <c r="O17" s="10"/>
      <c r="P17" s="11" t="n">
        <f aca="false">J17/1.28</f>
        <v>2825</v>
      </c>
    </row>
    <row r="18" customFormat="false" ht="19.5" hidden="false" customHeight="true" outlineLevel="0" collapsed="false">
      <c r="A18" s="18"/>
      <c r="B18" s="15" t="s">
        <v>12</v>
      </c>
      <c r="C18" s="16" t="s">
        <v>11</v>
      </c>
      <c r="D18" s="17" t="n">
        <v>600</v>
      </c>
      <c r="E18" s="17" t="n">
        <v>200</v>
      </c>
      <c r="F18" s="17" t="n">
        <v>150</v>
      </c>
      <c r="G18" s="16" t="n">
        <v>15</v>
      </c>
      <c r="H18" s="16" t="n">
        <f aca="false">(D18*E18*F18/1000000000)*G18</f>
        <v>0.27</v>
      </c>
      <c r="I18" s="16" t="n">
        <f aca="false">(D18*E18*F18*3200/1000000000)*G18</f>
        <v>864</v>
      </c>
      <c r="J18" s="34" t="n">
        <v>4339</v>
      </c>
      <c r="K18" s="35" t="n">
        <f aca="false">G18*J18</f>
        <v>65085</v>
      </c>
      <c r="L18" s="38" t="n">
        <f aca="false">K18/H18</f>
        <v>241055.555555556</v>
      </c>
      <c r="N18" s="10"/>
      <c r="O18" s="10"/>
      <c r="P18" s="11" t="n">
        <f aca="false">J18/1.28</f>
        <v>3389.84375</v>
      </c>
    </row>
    <row r="19" customFormat="false" ht="19.5" hidden="false" customHeight="true" outlineLevel="0" collapsed="false">
      <c r="A19" s="6" t="s">
        <v>15</v>
      </c>
      <c r="B19" s="19" t="s">
        <v>13</v>
      </c>
      <c r="C19" s="20" t="s">
        <v>11</v>
      </c>
      <c r="D19" s="9" t="n">
        <v>1000</v>
      </c>
      <c r="E19" s="9" t="n">
        <v>80</v>
      </c>
      <c r="F19" s="9" t="n">
        <v>80</v>
      </c>
      <c r="G19" s="20" t="n">
        <v>30</v>
      </c>
      <c r="H19" s="16" t="n">
        <f aca="false">(D19*E19*F19/1000000000)*G19</f>
        <v>0.192</v>
      </c>
      <c r="I19" s="16" t="n">
        <f aca="false">(D19*E19*F19*3200/1000000000)*G19</f>
        <v>614.4</v>
      </c>
      <c r="J19" s="34" t="n">
        <v>1488</v>
      </c>
      <c r="K19" s="35" t="n">
        <f aca="false">G19*J19</f>
        <v>44640</v>
      </c>
      <c r="L19" s="36" t="n">
        <f aca="false">K19/H19</f>
        <v>232500</v>
      </c>
      <c r="N19" s="10"/>
      <c r="O19" s="10"/>
      <c r="P19" s="11" t="n">
        <f aca="false">J19/1.28</f>
        <v>1162.5</v>
      </c>
    </row>
    <row r="20" customFormat="false" ht="19.5" hidden="false" customHeight="true" outlineLevel="0" collapsed="false">
      <c r="A20" s="6"/>
      <c r="B20" s="39" t="s">
        <v>13</v>
      </c>
      <c r="C20" s="40" t="s">
        <v>11</v>
      </c>
      <c r="D20" s="41" t="n">
        <v>500</v>
      </c>
      <c r="E20" s="41" t="n">
        <v>80</v>
      </c>
      <c r="F20" s="41" t="n">
        <v>80</v>
      </c>
      <c r="G20" s="42" t="n">
        <v>25</v>
      </c>
      <c r="H20" s="16" t="n">
        <f aca="false">(D20*E20*F20/1000000000)*G20</f>
        <v>0.08</v>
      </c>
      <c r="I20" s="16" t="n">
        <f aca="false">(D20*E20*F20*3200/1000000000)*G20</f>
        <v>256</v>
      </c>
      <c r="J20" s="34" t="n">
        <v>744</v>
      </c>
      <c r="K20" s="35" t="n">
        <f aca="false">G20*J20</f>
        <v>18600</v>
      </c>
      <c r="L20" s="36" t="n">
        <f aca="false">K20/H20</f>
        <v>232500</v>
      </c>
      <c r="N20" s="10"/>
      <c r="O20" s="10"/>
      <c r="P20" s="11" t="n">
        <f aca="false">J20/1.28</f>
        <v>581.25</v>
      </c>
    </row>
    <row r="21" customFormat="false" ht="19.5" hidden="false" customHeight="true" outlineLevel="0" collapsed="false">
      <c r="A21" s="6"/>
      <c r="B21" s="39" t="s">
        <v>13</v>
      </c>
      <c r="C21" s="40" t="s">
        <v>11</v>
      </c>
      <c r="D21" s="41" t="n">
        <v>800</v>
      </c>
      <c r="E21" s="41" t="n">
        <v>80</v>
      </c>
      <c r="F21" s="41" t="n">
        <v>80</v>
      </c>
      <c r="G21" s="42" t="n">
        <v>20</v>
      </c>
      <c r="H21" s="16" t="n">
        <f aca="false">(D21*E21*F21/1000000000)*G21</f>
        <v>0.1024</v>
      </c>
      <c r="I21" s="16" t="n">
        <f aca="false">(D21*E21*F21*3200/1000000000)*G21</f>
        <v>327.68</v>
      </c>
      <c r="J21" s="34" t="n">
        <v>1191</v>
      </c>
      <c r="K21" s="35" t="n">
        <f aca="false">G21*J21</f>
        <v>23820</v>
      </c>
      <c r="L21" s="36" t="n">
        <f aca="false">K21/H21</f>
        <v>232617.1875</v>
      </c>
      <c r="N21" s="10"/>
      <c r="O21" s="10"/>
      <c r="P21" s="11" t="n">
        <f aca="false">J21/1.28</f>
        <v>930.46875</v>
      </c>
    </row>
    <row r="22" customFormat="false" ht="19.5" hidden="false" customHeight="true" outlineLevel="0" collapsed="false">
      <c r="A22" s="6"/>
      <c r="B22" s="21" t="s">
        <v>12</v>
      </c>
      <c r="C22" s="22" t="s">
        <v>11</v>
      </c>
      <c r="D22" s="14" t="n">
        <v>500</v>
      </c>
      <c r="E22" s="14" t="n">
        <v>200</v>
      </c>
      <c r="F22" s="14" t="n">
        <v>120</v>
      </c>
      <c r="G22" s="23" t="n">
        <v>5</v>
      </c>
      <c r="H22" s="16" t="n">
        <f aca="false">(D22*E22*F22/1000000000)*G22</f>
        <v>0.06</v>
      </c>
      <c r="I22" s="16" t="n">
        <f aca="false">(D22*E22*F22*3200/1000000000)*G22</f>
        <v>192</v>
      </c>
      <c r="J22" s="34" t="n">
        <v>3616</v>
      </c>
      <c r="K22" s="35" t="n">
        <f aca="false">G22*J22</f>
        <v>18080</v>
      </c>
      <c r="L22" s="36" t="n">
        <f aca="false">K22/H22</f>
        <v>301333.333333333</v>
      </c>
      <c r="N22" s="10"/>
      <c r="O22" s="10"/>
      <c r="P22" s="11" t="n">
        <f aca="false">J22/1.28</f>
        <v>2825</v>
      </c>
    </row>
    <row r="23" customFormat="false" ht="19.5" hidden="false" customHeight="true" outlineLevel="0" collapsed="false">
      <c r="A23" s="6"/>
      <c r="B23" s="24" t="s">
        <v>13</v>
      </c>
      <c r="C23" s="25" t="s">
        <v>11</v>
      </c>
      <c r="D23" s="17"/>
      <c r="E23" s="17"/>
      <c r="F23" s="17"/>
      <c r="G23" s="25" t="n">
        <v>0</v>
      </c>
      <c r="H23" s="16" t="n">
        <f aca="false">(D23*E23*F23/1000000000)*G23</f>
        <v>0</v>
      </c>
      <c r="I23" s="25" t="n">
        <f aca="false">(D23*E23*F23*3200/1000000000)*G23</f>
        <v>0</v>
      </c>
      <c r="J23" s="34"/>
      <c r="K23" s="43" t="n">
        <f aca="false">J23*G23</f>
        <v>0</v>
      </c>
      <c r="L23" s="36" t="e">
        <f aca="false">K23/H23</f>
        <v>#DIV/0!</v>
      </c>
      <c r="N23" s="10"/>
      <c r="O23" s="10"/>
      <c r="P23" s="11"/>
    </row>
    <row r="24" customFormat="false" ht="15.75" hidden="false" customHeight="true" outlineLevel="0" collapsed="false">
      <c r="A24" s="26" t="s">
        <v>16</v>
      </c>
      <c r="B24" s="26"/>
      <c r="C24" s="26"/>
      <c r="D24" s="26"/>
      <c r="E24" s="26"/>
      <c r="F24" s="26"/>
      <c r="G24" s="27" t="n">
        <f aca="false">SUM(G13:G23)</f>
        <v>148</v>
      </c>
      <c r="H24" s="27" t="n">
        <f aca="false">SUM(H13:H23)</f>
        <v>2.0494</v>
      </c>
      <c r="I24" s="27" t="n">
        <f aca="false">SUM(I13:I23)</f>
        <v>6558.08</v>
      </c>
      <c r="J24" s="27"/>
      <c r="K24" s="44" t="n">
        <f aca="false">SUM(K13:K23)</f>
        <v>493174</v>
      </c>
      <c r="L24" s="45"/>
    </row>
    <row r="25" customFormat="false" ht="15.75" hidden="false" customHeight="true" outlineLevel="0" collapsed="false">
      <c r="B25" s="28"/>
      <c r="C25" s="28"/>
      <c r="J25" s="46"/>
    </row>
    <row r="26" customFormat="false" ht="15.75" hidden="false" customHeight="true" outlineLevel="0" collapsed="false">
      <c r="B26" s="28"/>
      <c r="C26" s="28"/>
      <c r="J26" s="46"/>
    </row>
    <row r="27" customFormat="false" ht="15.75" hidden="false" customHeight="true" outlineLevel="0" collapsed="false">
      <c r="B27" s="28"/>
      <c r="C27" s="28"/>
      <c r="J27" s="46"/>
      <c r="M27" s="11"/>
    </row>
    <row r="28" customFormat="false" ht="15.75" hidden="false" customHeight="true" outlineLevel="0" collapsed="false">
      <c r="B28" s="28"/>
      <c r="C28" s="28"/>
      <c r="J28" s="46"/>
    </row>
    <row r="29" customFormat="false" ht="15.75" hidden="false" customHeight="true" outlineLevel="0" collapsed="false">
      <c r="B29" s="28"/>
      <c r="C29" s="28"/>
      <c r="G29" s="47" t="s">
        <v>27</v>
      </c>
      <c r="H29" s="47"/>
      <c r="I29" s="47"/>
      <c r="J29" s="48" t="n">
        <f aca="false">K24</f>
        <v>493174</v>
      </c>
      <c r="K29" s="49" t="s">
        <v>28</v>
      </c>
    </row>
    <row r="30" customFormat="false" ht="15.75" hidden="false" customHeight="true" outlineLevel="0" collapsed="false">
      <c r="B30" s="28"/>
      <c r="C30" s="28"/>
      <c r="J30" s="46"/>
    </row>
    <row r="31" customFormat="false" ht="15.75" hidden="false" customHeight="true" outlineLevel="0" collapsed="false">
      <c r="B31" s="28"/>
      <c r="C31" s="28"/>
      <c r="J31" s="46"/>
    </row>
    <row r="32" customFormat="false" ht="15.75" hidden="false" customHeight="true" outlineLevel="0" collapsed="false">
      <c r="B32" s="50" t="s">
        <v>29</v>
      </c>
      <c r="C32" s="50"/>
      <c r="D32" s="50"/>
      <c r="E32" s="50"/>
      <c r="F32" s="50"/>
      <c r="J32" s="46"/>
    </row>
    <row r="33" customFormat="false" ht="15.75" hidden="false" customHeight="true" outlineLevel="0" collapsed="false">
      <c r="B33" s="50" t="s">
        <v>30</v>
      </c>
      <c r="C33" s="50"/>
      <c r="D33" s="50"/>
      <c r="E33" s="50"/>
      <c r="F33" s="50"/>
      <c r="J33" s="46"/>
    </row>
    <row r="34" customFormat="false" ht="15.75" hidden="false" customHeight="true" outlineLevel="0" collapsed="false">
      <c r="B34" s="50" t="s">
        <v>31</v>
      </c>
      <c r="C34" s="50"/>
      <c r="D34" s="50"/>
      <c r="E34" s="50"/>
      <c r="F34" s="50"/>
      <c r="J34" s="46"/>
    </row>
    <row r="35" customFormat="false" ht="15.75" hidden="false" customHeight="true" outlineLevel="0" collapsed="false">
      <c r="B35" s="28"/>
      <c r="C35" s="28"/>
      <c r="J35" s="46"/>
    </row>
    <row r="36" customFormat="false" ht="15.75" hidden="false" customHeight="true" outlineLevel="0" collapsed="false">
      <c r="B36" s="28"/>
      <c r="C36" s="28"/>
      <c r="J36" s="46"/>
    </row>
    <row r="37" customFormat="false" ht="15.75" hidden="false" customHeight="true" outlineLevel="0" collapsed="false">
      <c r="B37" s="28"/>
      <c r="C37" s="28"/>
      <c r="J37" s="46"/>
    </row>
    <row r="38" customFormat="false" ht="15.75" hidden="false" customHeight="true" outlineLevel="0" collapsed="false">
      <c r="B38" s="28"/>
      <c r="C38" s="28"/>
      <c r="J38" s="46"/>
    </row>
    <row r="39" customFormat="false" ht="15.75" hidden="false" customHeight="true" outlineLevel="0" collapsed="false">
      <c r="B39" s="28"/>
      <c r="C39" s="28"/>
      <c r="J39" s="46"/>
    </row>
    <row r="40" customFormat="false" ht="15.75" hidden="false" customHeight="true" outlineLevel="0" collapsed="false">
      <c r="B40" s="28"/>
      <c r="C40" s="28"/>
      <c r="J40" s="46"/>
    </row>
    <row r="41" customFormat="false" ht="15.75" hidden="false" customHeight="true" outlineLevel="0" collapsed="false">
      <c r="B41" s="28"/>
      <c r="C41" s="28"/>
      <c r="J41" s="46"/>
    </row>
    <row r="42" customFormat="false" ht="15.75" hidden="false" customHeight="true" outlineLevel="0" collapsed="false">
      <c r="B42" s="28"/>
      <c r="C42" s="28"/>
      <c r="J42" s="46"/>
    </row>
    <row r="43" customFormat="false" ht="15.75" hidden="false" customHeight="true" outlineLevel="0" collapsed="false">
      <c r="B43" s="28"/>
      <c r="C43" s="28"/>
      <c r="J43" s="46"/>
    </row>
    <row r="44" customFormat="false" ht="15.75" hidden="false" customHeight="true" outlineLevel="0" collapsed="false">
      <c r="B44" s="28"/>
      <c r="C44" s="28"/>
      <c r="J44" s="46"/>
    </row>
    <row r="45" customFormat="false" ht="15.75" hidden="false" customHeight="true" outlineLevel="0" collapsed="false">
      <c r="B45" s="28"/>
      <c r="C45" s="28"/>
      <c r="J45" s="46"/>
    </row>
    <row r="46" customFormat="false" ht="15.75" hidden="false" customHeight="true" outlineLevel="0" collapsed="false">
      <c r="J46" s="51"/>
    </row>
    <row r="47" customFormat="false" ht="15.75" hidden="false" customHeight="true" outlineLevel="0" collapsed="false">
      <c r="J47" s="51"/>
    </row>
    <row r="48" customFormat="false" ht="15.75" hidden="false" customHeight="true" outlineLevel="0" collapsed="false">
      <c r="J48" s="51"/>
    </row>
    <row r="49" customFormat="false" ht="15.75" hidden="false" customHeight="true" outlineLevel="0" collapsed="false">
      <c r="J49" s="51"/>
    </row>
    <row r="50" customFormat="false" ht="15.75" hidden="false" customHeight="true" outlineLevel="0" collapsed="false">
      <c r="J50" s="51"/>
    </row>
    <row r="51" customFormat="false" ht="15.75" hidden="false" customHeight="true" outlineLevel="0" collapsed="false">
      <c r="J51" s="51"/>
    </row>
    <row r="52" customFormat="false" ht="15.75" hidden="false" customHeight="true" outlineLevel="0" collapsed="false">
      <c r="J52" s="51"/>
    </row>
    <row r="53" customFormat="false" ht="15.75" hidden="false" customHeight="true" outlineLevel="0" collapsed="false">
      <c r="J53" s="51"/>
    </row>
    <row r="54" customFormat="false" ht="15.75" hidden="false" customHeight="true" outlineLevel="0" collapsed="false">
      <c r="J54" s="51"/>
    </row>
    <row r="55" customFormat="false" ht="15.75" hidden="false" customHeight="true" outlineLevel="0" collapsed="false">
      <c r="J55" s="51"/>
    </row>
    <row r="56" customFormat="false" ht="15.75" hidden="false" customHeight="true" outlineLevel="0" collapsed="false">
      <c r="J56" s="51"/>
    </row>
    <row r="57" customFormat="false" ht="15.75" hidden="false" customHeight="true" outlineLevel="0" collapsed="false">
      <c r="J57" s="51"/>
    </row>
    <row r="58" customFormat="false" ht="15.75" hidden="false" customHeight="true" outlineLevel="0" collapsed="false">
      <c r="J58" s="51"/>
    </row>
    <row r="59" customFormat="false" ht="15.75" hidden="false" customHeight="true" outlineLevel="0" collapsed="false">
      <c r="J59" s="51"/>
    </row>
    <row r="60" customFormat="false" ht="15.75" hidden="false" customHeight="true" outlineLevel="0" collapsed="false">
      <c r="J60" s="51"/>
    </row>
    <row r="61" customFormat="false" ht="15.75" hidden="false" customHeight="true" outlineLevel="0" collapsed="false">
      <c r="J61" s="51"/>
    </row>
    <row r="62" customFormat="false" ht="15.75" hidden="false" customHeight="true" outlineLevel="0" collapsed="false">
      <c r="J62" s="51"/>
    </row>
    <row r="63" customFormat="false" ht="15.75" hidden="false" customHeight="true" outlineLevel="0" collapsed="false">
      <c r="J63" s="51"/>
    </row>
    <row r="64" customFormat="false" ht="15.75" hidden="false" customHeight="true" outlineLevel="0" collapsed="false">
      <c r="J64" s="51"/>
    </row>
    <row r="65" customFormat="false" ht="15.75" hidden="false" customHeight="true" outlineLevel="0" collapsed="false">
      <c r="J65" s="51"/>
    </row>
    <row r="66" customFormat="false" ht="15.75" hidden="false" customHeight="true" outlineLevel="0" collapsed="false">
      <c r="J66" s="51"/>
    </row>
    <row r="67" customFormat="false" ht="15.75" hidden="false" customHeight="true" outlineLevel="0" collapsed="false">
      <c r="J67" s="51"/>
    </row>
    <row r="68" customFormat="false" ht="15.75" hidden="false" customHeight="true" outlineLevel="0" collapsed="false">
      <c r="J68" s="51"/>
    </row>
    <row r="69" customFormat="false" ht="15.75" hidden="false" customHeight="true" outlineLevel="0" collapsed="false">
      <c r="J69" s="51"/>
    </row>
    <row r="70" customFormat="false" ht="15.75" hidden="false" customHeight="true" outlineLevel="0" collapsed="false">
      <c r="J70" s="51"/>
    </row>
    <row r="71" customFormat="false" ht="15.75" hidden="false" customHeight="true" outlineLevel="0" collapsed="false">
      <c r="J71" s="51"/>
    </row>
    <row r="72" customFormat="false" ht="15.75" hidden="false" customHeight="true" outlineLevel="0" collapsed="false">
      <c r="J72" s="51"/>
    </row>
    <row r="73" customFormat="false" ht="15.75" hidden="false" customHeight="true" outlineLevel="0" collapsed="false">
      <c r="J73" s="51"/>
    </row>
    <row r="74" customFormat="false" ht="15.75" hidden="false" customHeight="true" outlineLevel="0" collapsed="false">
      <c r="J74" s="51"/>
    </row>
    <row r="75" customFormat="false" ht="15.75" hidden="false" customHeight="true" outlineLevel="0" collapsed="false">
      <c r="J75" s="51"/>
    </row>
    <row r="76" customFormat="false" ht="15.75" hidden="false" customHeight="true" outlineLevel="0" collapsed="false">
      <c r="J76" s="51"/>
    </row>
    <row r="77" customFormat="false" ht="15.75" hidden="false" customHeight="true" outlineLevel="0" collapsed="false">
      <c r="J77" s="51"/>
    </row>
    <row r="78" customFormat="false" ht="15.75" hidden="false" customHeight="true" outlineLevel="0" collapsed="false">
      <c r="J78" s="51"/>
    </row>
    <row r="79" customFormat="false" ht="15.75" hidden="false" customHeight="true" outlineLevel="0" collapsed="false">
      <c r="J79" s="51"/>
    </row>
    <row r="80" customFormat="false" ht="15.75" hidden="false" customHeight="true" outlineLevel="0" collapsed="false">
      <c r="J80" s="51"/>
    </row>
    <row r="81" customFormat="false" ht="15.75" hidden="false" customHeight="true" outlineLevel="0" collapsed="false">
      <c r="J81" s="51"/>
    </row>
    <row r="82" customFormat="false" ht="15.75" hidden="false" customHeight="true" outlineLevel="0" collapsed="false">
      <c r="J82" s="51"/>
    </row>
    <row r="83" customFormat="false" ht="15.75" hidden="false" customHeight="true" outlineLevel="0" collapsed="false">
      <c r="J83" s="51"/>
    </row>
    <row r="84" customFormat="false" ht="15.75" hidden="false" customHeight="true" outlineLevel="0" collapsed="false">
      <c r="J84" s="51"/>
    </row>
    <row r="85" customFormat="false" ht="15.75" hidden="false" customHeight="true" outlineLevel="0" collapsed="false">
      <c r="J85" s="51"/>
    </row>
    <row r="86" customFormat="false" ht="15.75" hidden="false" customHeight="true" outlineLevel="0" collapsed="false">
      <c r="J86" s="51"/>
    </row>
    <row r="87" customFormat="false" ht="15.75" hidden="false" customHeight="true" outlineLevel="0" collapsed="false">
      <c r="J87" s="51"/>
    </row>
    <row r="88" customFormat="false" ht="15.75" hidden="false" customHeight="true" outlineLevel="0" collapsed="false">
      <c r="J88" s="51"/>
    </row>
    <row r="89" customFormat="false" ht="15.75" hidden="false" customHeight="true" outlineLevel="0" collapsed="false">
      <c r="J89" s="51"/>
    </row>
    <row r="90" customFormat="false" ht="15.75" hidden="false" customHeight="true" outlineLevel="0" collapsed="false">
      <c r="J90" s="51"/>
    </row>
    <row r="91" customFormat="false" ht="15.75" hidden="false" customHeight="true" outlineLevel="0" collapsed="false">
      <c r="J91" s="51"/>
    </row>
    <row r="92" customFormat="false" ht="15.75" hidden="false" customHeight="true" outlineLevel="0" collapsed="false">
      <c r="J92" s="51"/>
    </row>
    <row r="93" customFormat="false" ht="15.75" hidden="false" customHeight="true" outlineLevel="0" collapsed="false">
      <c r="J93" s="51"/>
    </row>
    <row r="94" customFormat="false" ht="15.75" hidden="false" customHeight="true" outlineLevel="0" collapsed="false">
      <c r="J94" s="51"/>
    </row>
    <row r="95" customFormat="false" ht="15.75" hidden="false" customHeight="true" outlineLevel="0" collapsed="false">
      <c r="J95" s="51"/>
    </row>
    <row r="96" customFormat="false" ht="15.75" hidden="false" customHeight="true" outlineLevel="0" collapsed="false">
      <c r="J96" s="51"/>
    </row>
    <row r="97" customFormat="false" ht="15.75" hidden="false" customHeight="true" outlineLevel="0" collapsed="false">
      <c r="J97" s="51"/>
    </row>
    <row r="98" customFormat="false" ht="15.75" hidden="false" customHeight="true" outlineLevel="0" collapsed="false">
      <c r="J98" s="51"/>
    </row>
    <row r="99" customFormat="false" ht="15.75" hidden="false" customHeight="true" outlineLevel="0" collapsed="false">
      <c r="J99" s="51"/>
    </row>
    <row r="100" customFormat="false" ht="15.75" hidden="false" customHeight="true" outlineLevel="0" collapsed="false">
      <c r="J100" s="51"/>
    </row>
    <row r="101" customFormat="false" ht="15.75" hidden="false" customHeight="true" outlineLevel="0" collapsed="false">
      <c r="J101" s="51"/>
    </row>
    <row r="102" customFormat="false" ht="15.75" hidden="false" customHeight="true" outlineLevel="0" collapsed="false">
      <c r="J102" s="51"/>
    </row>
    <row r="103" customFormat="false" ht="15.75" hidden="false" customHeight="true" outlineLevel="0" collapsed="false">
      <c r="J103" s="51"/>
    </row>
    <row r="104" customFormat="false" ht="15.75" hidden="false" customHeight="true" outlineLevel="0" collapsed="false">
      <c r="J104" s="51"/>
    </row>
    <row r="105" customFormat="false" ht="15.75" hidden="false" customHeight="true" outlineLevel="0" collapsed="false">
      <c r="J105" s="51"/>
    </row>
    <row r="106" customFormat="false" ht="15.75" hidden="false" customHeight="true" outlineLevel="0" collapsed="false">
      <c r="J106" s="51"/>
    </row>
    <row r="107" customFormat="false" ht="15.75" hidden="false" customHeight="true" outlineLevel="0" collapsed="false">
      <c r="J107" s="51"/>
    </row>
    <row r="108" customFormat="false" ht="15.75" hidden="false" customHeight="true" outlineLevel="0" collapsed="false">
      <c r="J108" s="51"/>
    </row>
    <row r="109" customFormat="false" ht="15.75" hidden="false" customHeight="true" outlineLevel="0" collapsed="false">
      <c r="J109" s="51"/>
    </row>
    <row r="110" customFormat="false" ht="15.75" hidden="false" customHeight="true" outlineLevel="0" collapsed="false">
      <c r="J110" s="51"/>
    </row>
    <row r="111" customFormat="false" ht="15.75" hidden="false" customHeight="true" outlineLevel="0" collapsed="false">
      <c r="J111" s="51"/>
    </row>
    <row r="112" customFormat="false" ht="15.75" hidden="false" customHeight="true" outlineLevel="0" collapsed="false">
      <c r="J112" s="51"/>
    </row>
    <row r="113" customFormat="false" ht="15.75" hidden="false" customHeight="true" outlineLevel="0" collapsed="false">
      <c r="J113" s="51"/>
    </row>
    <row r="114" customFormat="false" ht="15.75" hidden="false" customHeight="true" outlineLevel="0" collapsed="false">
      <c r="J114" s="51"/>
    </row>
    <row r="115" customFormat="false" ht="15.75" hidden="false" customHeight="true" outlineLevel="0" collapsed="false">
      <c r="J115" s="51"/>
    </row>
    <row r="116" customFormat="false" ht="15.75" hidden="false" customHeight="true" outlineLevel="0" collapsed="false">
      <c r="J116" s="51"/>
    </row>
    <row r="117" customFormat="false" ht="15.75" hidden="false" customHeight="true" outlineLevel="0" collapsed="false">
      <c r="J117" s="51"/>
    </row>
    <row r="118" customFormat="false" ht="15.75" hidden="false" customHeight="true" outlineLevel="0" collapsed="false">
      <c r="J118" s="51"/>
    </row>
    <row r="119" customFormat="false" ht="15.75" hidden="false" customHeight="true" outlineLevel="0" collapsed="false">
      <c r="J119" s="51"/>
    </row>
    <row r="120" customFormat="false" ht="15.75" hidden="false" customHeight="true" outlineLevel="0" collapsed="false">
      <c r="J120" s="51"/>
    </row>
    <row r="121" customFormat="false" ht="15.75" hidden="false" customHeight="true" outlineLevel="0" collapsed="false">
      <c r="J121" s="51"/>
    </row>
    <row r="122" customFormat="false" ht="15.75" hidden="false" customHeight="true" outlineLevel="0" collapsed="false">
      <c r="J122" s="51"/>
    </row>
    <row r="123" customFormat="false" ht="15.75" hidden="false" customHeight="true" outlineLevel="0" collapsed="false">
      <c r="J123" s="51"/>
    </row>
    <row r="124" customFormat="false" ht="15.75" hidden="false" customHeight="true" outlineLevel="0" collapsed="false">
      <c r="J124" s="51"/>
    </row>
    <row r="125" customFormat="false" ht="15.75" hidden="false" customHeight="true" outlineLevel="0" collapsed="false">
      <c r="J125" s="51"/>
    </row>
    <row r="126" customFormat="false" ht="15.75" hidden="false" customHeight="true" outlineLevel="0" collapsed="false">
      <c r="J126" s="51"/>
    </row>
    <row r="127" customFormat="false" ht="15.75" hidden="false" customHeight="true" outlineLevel="0" collapsed="false">
      <c r="J127" s="51"/>
    </row>
    <row r="128" customFormat="false" ht="15.75" hidden="false" customHeight="true" outlineLevel="0" collapsed="false">
      <c r="J128" s="51"/>
    </row>
    <row r="129" customFormat="false" ht="15.75" hidden="false" customHeight="true" outlineLevel="0" collapsed="false">
      <c r="J129" s="51"/>
    </row>
    <row r="130" customFormat="false" ht="15.75" hidden="false" customHeight="true" outlineLevel="0" collapsed="false">
      <c r="J130" s="51"/>
    </row>
    <row r="131" customFormat="false" ht="15.75" hidden="false" customHeight="true" outlineLevel="0" collapsed="false">
      <c r="J131" s="51"/>
    </row>
    <row r="132" customFormat="false" ht="15.75" hidden="false" customHeight="true" outlineLevel="0" collapsed="false">
      <c r="J132" s="51"/>
    </row>
    <row r="133" customFormat="false" ht="15.75" hidden="false" customHeight="true" outlineLevel="0" collapsed="false">
      <c r="J133" s="51"/>
    </row>
    <row r="134" customFormat="false" ht="15.75" hidden="false" customHeight="true" outlineLevel="0" collapsed="false">
      <c r="J134" s="51"/>
    </row>
    <row r="135" customFormat="false" ht="15.75" hidden="false" customHeight="true" outlineLevel="0" collapsed="false">
      <c r="J135" s="51"/>
    </row>
    <row r="136" customFormat="false" ht="15.75" hidden="false" customHeight="true" outlineLevel="0" collapsed="false">
      <c r="J136" s="51"/>
    </row>
    <row r="137" customFormat="false" ht="15.75" hidden="false" customHeight="true" outlineLevel="0" collapsed="false">
      <c r="J137" s="51"/>
    </row>
    <row r="138" customFormat="false" ht="15.75" hidden="false" customHeight="true" outlineLevel="0" collapsed="false">
      <c r="J138" s="51"/>
    </row>
    <row r="139" customFormat="false" ht="15.75" hidden="false" customHeight="true" outlineLevel="0" collapsed="false">
      <c r="J139" s="51"/>
    </row>
    <row r="140" customFormat="false" ht="15.75" hidden="false" customHeight="true" outlineLevel="0" collapsed="false">
      <c r="J140" s="51"/>
    </row>
    <row r="141" customFormat="false" ht="15.75" hidden="false" customHeight="true" outlineLevel="0" collapsed="false">
      <c r="J141" s="51"/>
    </row>
    <row r="142" customFormat="false" ht="15.75" hidden="false" customHeight="true" outlineLevel="0" collapsed="false">
      <c r="J142" s="51"/>
    </row>
    <row r="143" customFormat="false" ht="15.75" hidden="false" customHeight="true" outlineLevel="0" collapsed="false">
      <c r="J143" s="51"/>
    </row>
    <row r="144" customFormat="false" ht="15.75" hidden="false" customHeight="true" outlineLevel="0" collapsed="false">
      <c r="J144" s="51"/>
    </row>
    <row r="145" customFormat="false" ht="15.75" hidden="false" customHeight="true" outlineLevel="0" collapsed="false">
      <c r="J145" s="51"/>
    </row>
    <row r="146" customFormat="false" ht="15.75" hidden="false" customHeight="true" outlineLevel="0" collapsed="false">
      <c r="J146" s="51"/>
    </row>
    <row r="147" customFormat="false" ht="15.75" hidden="false" customHeight="true" outlineLevel="0" collapsed="false">
      <c r="J147" s="51"/>
    </row>
    <row r="148" customFormat="false" ht="15.75" hidden="false" customHeight="true" outlineLevel="0" collapsed="false">
      <c r="J148" s="51"/>
    </row>
    <row r="149" customFormat="false" ht="15.75" hidden="false" customHeight="true" outlineLevel="0" collapsed="false">
      <c r="J149" s="51"/>
    </row>
    <row r="150" customFormat="false" ht="15.75" hidden="false" customHeight="true" outlineLevel="0" collapsed="false">
      <c r="J150" s="51"/>
    </row>
    <row r="151" customFormat="false" ht="15.75" hidden="false" customHeight="true" outlineLevel="0" collapsed="false">
      <c r="J151" s="51"/>
    </row>
    <row r="152" customFormat="false" ht="15.75" hidden="false" customHeight="true" outlineLevel="0" collapsed="false">
      <c r="J152" s="51"/>
    </row>
    <row r="153" customFormat="false" ht="15.75" hidden="false" customHeight="true" outlineLevel="0" collapsed="false">
      <c r="J153" s="51"/>
    </row>
    <row r="154" customFormat="false" ht="15.75" hidden="false" customHeight="true" outlineLevel="0" collapsed="false">
      <c r="J154" s="51"/>
    </row>
    <row r="155" customFormat="false" ht="15.75" hidden="false" customHeight="true" outlineLevel="0" collapsed="false">
      <c r="J155" s="51"/>
    </row>
    <row r="156" customFormat="false" ht="15.75" hidden="false" customHeight="true" outlineLevel="0" collapsed="false">
      <c r="J156" s="51"/>
    </row>
    <row r="157" customFormat="false" ht="15.75" hidden="false" customHeight="true" outlineLevel="0" collapsed="false">
      <c r="J157" s="51"/>
    </row>
    <row r="158" customFormat="false" ht="15.75" hidden="false" customHeight="true" outlineLevel="0" collapsed="false">
      <c r="J158" s="51"/>
    </row>
    <row r="159" customFormat="false" ht="15.75" hidden="false" customHeight="true" outlineLevel="0" collapsed="false">
      <c r="J159" s="51"/>
    </row>
    <row r="160" customFormat="false" ht="15.75" hidden="false" customHeight="true" outlineLevel="0" collapsed="false">
      <c r="J160" s="51"/>
    </row>
    <row r="161" customFormat="false" ht="15.75" hidden="false" customHeight="true" outlineLevel="0" collapsed="false">
      <c r="J161" s="51"/>
    </row>
    <row r="162" customFormat="false" ht="15.75" hidden="false" customHeight="true" outlineLevel="0" collapsed="false">
      <c r="J162" s="51"/>
    </row>
    <row r="163" customFormat="false" ht="15.75" hidden="false" customHeight="true" outlineLevel="0" collapsed="false">
      <c r="J163" s="51"/>
    </row>
    <row r="164" customFormat="false" ht="15.75" hidden="false" customHeight="true" outlineLevel="0" collapsed="false">
      <c r="J164" s="51"/>
    </row>
    <row r="165" customFormat="false" ht="15.75" hidden="false" customHeight="true" outlineLevel="0" collapsed="false">
      <c r="J165" s="51"/>
    </row>
    <row r="166" customFormat="false" ht="15.75" hidden="false" customHeight="true" outlineLevel="0" collapsed="false">
      <c r="J166" s="51"/>
    </row>
    <row r="167" customFormat="false" ht="15.75" hidden="false" customHeight="true" outlineLevel="0" collapsed="false">
      <c r="J167" s="51"/>
    </row>
    <row r="168" customFormat="false" ht="15.75" hidden="false" customHeight="true" outlineLevel="0" collapsed="false">
      <c r="J168" s="51"/>
    </row>
    <row r="169" customFormat="false" ht="15.75" hidden="false" customHeight="true" outlineLevel="0" collapsed="false">
      <c r="J169" s="51"/>
    </row>
    <row r="170" customFormat="false" ht="15.75" hidden="false" customHeight="true" outlineLevel="0" collapsed="false">
      <c r="J170" s="51"/>
    </row>
    <row r="171" customFormat="false" ht="15.75" hidden="false" customHeight="true" outlineLevel="0" collapsed="false">
      <c r="J171" s="51"/>
    </row>
    <row r="172" customFormat="false" ht="15.75" hidden="false" customHeight="true" outlineLevel="0" collapsed="false">
      <c r="J172" s="51"/>
    </row>
    <row r="173" customFormat="false" ht="15.75" hidden="false" customHeight="true" outlineLevel="0" collapsed="false">
      <c r="J173" s="51"/>
    </row>
    <row r="174" customFormat="false" ht="15.75" hidden="false" customHeight="true" outlineLevel="0" collapsed="false">
      <c r="J174" s="51"/>
    </row>
    <row r="175" customFormat="false" ht="15.75" hidden="false" customHeight="true" outlineLevel="0" collapsed="false">
      <c r="J175" s="51"/>
    </row>
    <row r="176" customFormat="false" ht="15.75" hidden="false" customHeight="true" outlineLevel="0" collapsed="false">
      <c r="J176" s="51"/>
    </row>
    <row r="177" customFormat="false" ht="15.75" hidden="false" customHeight="true" outlineLevel="0" collapsed="false">
      <c r="J177" s="51"/>
    </row>
    <row r="178" customFormat="false" ht="15.75" hidden="false" customHeight="true" outlineLevel="0" collapsed="false">
      <c r="J178" s="51"/>
    </row>
    <row r="179" customFormat="false" ht="15.75" hidden="false" customHeight="true" outlineLevel="0" collapsed="false">
      <c r="J179" s="51"/>
    </row>
    <row r="180" customFormat="false" ht="15.75" hidden="false" customHeight="true" outlineLevel="0" collapsed="false">
      <c r="J180" s="51"/>
    </row>
    <row r="181" customFormat="false" ht="15.75" hidden="false" customHeight="true" outlineLevel="0" collapsed="false">
      <c r="J181" s="51"/>
    </row>
    <row r="182" customFormat="false" ht="15.75" hidden="false" customHeight="true" outlineLevel="0" collapsed="false">
      <c r="J182" s="51"/>
    </row>
    <row r="183" customFormat="false" ht="15.75" hidden="false" customHeight="true" outlineLevel="0" collapsed="false">
      <c r="J183" s="51"/>
    </row>
    <row r="184" customFormat="false" ht="15.75" hidden="false" customHeight="true" outlineLevel="0" collapsed="false">
      <c r="J184" s="51"/>
    </row>
    <row r="185" customFormat="false" ht="15.75" hidden="false" customHeight="true" outlineLevel="0" collapsed="false">
      <c r="J185" s="51"/>
    </row>
    <row r="186" customFormat="false" ht="15.75" hidden="false" customHeight="true" outlineLevel="0" collapsed="false">
      <c r="J186" s="51"/>
    </row>
    <row r="187" customFormat="false" ht="15.75" hidden="false" customHeight="true" outlineLevel="0" collapsed="false">
      <c r="J187" s="51"/>
    </row>
    <row r="188" customFormat="false" ht="15.75" hidden="false" customHeight="true" outlineLevel="0" collapsed="false">
      <c r="J188" s="51"/>
    </row>
    <row r="189" customFormat="false" ht="15.75" hidden="false" customHeight="true" outlineLevel="0" collapsed="false">
      <c r="J189" s="51"/>
    </row>
    <row r="190" customFormat="false" ht="15.75" hidden="false" customHeight="true" outlineLevel="0" collapsed="false">
      <c r="J190" s="51"/>
    </row>
    <row r="191" customFormat="false" ht="15.75" hidden="false" customHeight="true" outlineLevel="0" collapsed="false">
      <c r="J191" s="51"/>
    </row>
    <row r="192" customFormat="false" ht="15.75" hidden="false" customHeight="true" outlineLevel="0" collapsed="false">
      <c r="J192" s="51"/>
    </row>
    <row r="193" customFormat="false" ht="15.75" hidden="false" customHeight="true" outlineLevel="0" collapsed="false">
      <c r="J193" s="51"/>
    </row>
    <row r="194" customFormat="false" ht="15.75" hidden="false" customHeight="true" outlineLevel="0" collapsed="false">
      <c r="J194" s="51"/>
    </row>
    <row r="195" customFormat="false" ht="15.75" hidden="false" customHeight="true" outlineLevel="0" collapsed="false">
      <c r="J195" s="51"/>
    </row>
    <row r="196" customFormat="false" ht="15.75" hidden="false" customHeight="true" outlineLevel="0" collapsed="false">
      <c r="J196" s="51"/>
    </row>
    <row r="197" customFormat="false" ht="15.75" hidden="false" customHeight="true" outlineLevel="0" collapsed="false">
      <c r="J197" s="51"/>
    </row>
    <row r="198" customFormat="false" ht="15.75" hidden="false" customHeight="true" outlineLevel="0" collapsed="false">
      <c r="J198" s="51"/>
    </row>
    <row r="199" customFormat="false" ht="15.75" hidden="false" customHeight="true" outlineLevel="0" collapsed="false">
      <c r="J199" s="51"/>
    </row>
    <row r="200" customFormat="false" ht="15.75" hidden="false" customHeight="true" outlineLevel="0" collapsed="false">
      <c r="J200" s="51"/>
    </row>
    <row r="201" customFormat="false" ht="15.75" hidden="false" customHeight="true" outlineLevel="0" collapsed="false">
      <c r="J201" s="51"/>
    </row>
    <row r="202" customFormat="false" ht="15.75" hidden="false" customHeight="true" outlineLevel="0" collapsed="false">
      <c r="J202" s="51"/>
    </row>
    <row r="203" customFormat="false" ht="15.75" hidden="false" customHeight="true" outlineLevel="0" collapsed="false">
      <c r="J203" s="51"/>
    </row>
    <row r="204" customFormat="false" ht="15.75" hidden="false" customHeight="true" outlineLevel="0" collapsed="false">
      <c r="J204" s="51"/>
    </row>
    <row r="205" customFormat="false" ht="15.75" hidden="false" customHeight="true" outlineLevel="0" collapsed="false">
      <c r="J205" s="51"/>
    </row>
    <row r="206" customFormat="false" ht="15.75" hidden="false" customHeight="true" outlineLevel="0" collapsed="false">
      <c r="J206" s="51"/>
    </row>
    <row r="207" customFormat="false" ht="15.75" hidden="false" customHeight="true" outlineLevel="0" collapsed="false">
      <c r="J207" s="51"/>
    </row>
    <row r="208" customFormat="false" ht="15.75" hidden="false" customHeight="true" outlineLevel="0" collapsed="false">
      <c r="J208" s="51"/>
    </row>
    <row r="209" customFormat="false" ht="15.75" hidden="false" customHeight="true" outlineLevel="0" collapsed="false">
      <c r="J209" s="51"/>
    </row>
    <row r="210" customFormat="false" ht="15.75" hidden="false" customHeight="true" outlineLevel="0" collapsed="false">
      <c r="J210" s="51"/>
    </row>
    <row r="211" customFormat="false" ht="15.75" hidden="false" customHeight="true" outlineLevel="0" collapsed="false">
      <c r="J211" s="51"/>
    </row>
    <row r="212" customFormat="false" ht="15.75" hidden="false" customHeight="true" outlineLevel="0" collapsed="false">
      <c r="J212" s="51"/>
    </row>
    <row r="213" customFormat="false" ht="15.75" hidden="false" customHeight="true" outlineLevel="0" collapsed="false">
      <c r="J213" s="51"/>
    </row>
    <row r="214" customFormat="false" ht="15.75" hidden="false" customHeight="true" outlineLevel="0" collapsed="false">
      <c r="J214" s="51"/>
    </row>
    <row r="215" customFormat="false" ht="15.75" hidden="false" customHeight="true" outlineLevel="0" collapsed="false">
      <c r="J215" s="51"/>
    </row>
    <row r="216" customFormat="false" ht="15.75" hidden="false" customHeight="true" outlineLevel="0" collapsed="false">
      <c r="J216" s="51"/>
    </row>
    <row r="217" customFormat="false" ht="15.75" hidden="false" customHeight="true" outlineLevel="0" collapsed="false">
      <c r="J217" s="51"/>
    </row>
    <row r="218" customFormat="false" ht="15.75" hidden="false" customHeight="true" outlineLevel="0" collapsed="false">
      <c r="J218" s="51"/>
    </row>
    <row r="219" customFormat="false" ht="15.75" hidden="false" customHeight="true" outlineLevel="0" collapsed="false">
      <c r="J219" s="51"/>
    </row>
    <row r="220" customFormat="false" ht="15.75" hidden="false" customHeight="true" outlineLevel="0" collapsed="false">
      <c r="J220" s="51"/>
    </row>
    <row r="221" customFormat="false" ht="15.75" hidden="false" customHeight="true" outlineLevel="0" collapsed="false">
      <c r="J221" s="51"/>
    </row>
    <row r="222" customFormat="false" ht="15.75" hidden="false" customHeight="true" outlineLevel="0" collapsed="false">
      <c r="J222" s="51"/>
    </row>
    <row r="223" customFormat="false" ht="15.75" hidden="false" customHeight="true" outlineLevel="0" collapsed="false">
      <c r="J223" s="51"/>
    </row>
    <row r="224" customFormat="false" ht="15.75" hidden="false" customHeight="true" outlineLevel="0" collapsed="false">
      <c r="J224" s="51"/>
    </row>
    <row r="225" customFormat="false" ht="15.75" hidden="false" customHeight="true" outlineLevel="0" collapsed="false">
      <c r="J225" s="51"/>
    </row>
    <row r="226" customFormat="false" ht="15.75" hidden="false" customHeight="true" outlineLevel="0" collapsed="false">
      <c r="J226" s="51"/>
    </row>
    <row r="227" customFormat="false" ht="15.75" hidden="false" customHeight="true" outlineLevel="0" collapsed="false">
      <c r="J227" s="51"/>
    </row>
    <row r="228" customFormat="false" ht="15.75" hidden="false" customHeight="true" outlineLevel="0" collapsed="false">
      <c r="J228" s="51"/>
    </row>
    <row r="229" customFormat="false" ht="15.75" hidden="false" customHeight="true" outlineLevel="0" collapsed="false">
      <c r="J229" s="51"/>
    </row>
    <row r="230" customFormat="false" ht="15.75" hidden="false" customHeight="true" outlineLevel="0" collapsed="false">
      <c r="J230" s="51"/>
    </row>
    <row r="231" customFormat="false" ht="15.75" hidden="false" customHeight="true" outlineLevel="0" collapsed="false">
      <c r="J231" s="51"/>
    </row>
    <row r="232" customFormat="false" ht="15.75" hidden="false" customHeight="true" outlineLevel="0" collapsed="false">
      <c r="J232" s="51"/>
    </row>
    <row r="233" customFormat="false" ht="15.75" hidden="false" customHeight="true" outlineLevel="0" collapsed="false">
      <c r="J233" s="51"/>
    </row>
    <row r="234" customFormat="false" ht="15.75" hidden="false" customHeight="true" outlineLevel="0" collapsed="false">
      <c r="J234" s="51"/>
    </row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">
    <mergeCell ref="A4:K4"/>
    <mergeCell ref="A13:A15"/>
    <mergeCell ref="A16:A18"/>
    <mergeCell ref="A19:A23"/>
    <mergeCell ref="A24:F24"/>
    <mergeCell ref="G29:I29"/>
  </mergeCells>
  <dataValidations count="2">
    <dataValidation allowBlank="true" errorStyle="stop" operator="between" showDropDown="false" showErrorMessage="false" showInputMessage="false" sqref="C13:C23" type="custom">
      <formula1>"Стела;Тумба;Цветник"</formula1>
      <formula2>0</formula2>
    </dataValidation>
    <dataValidation allowBlank="true" errorStyle="stop" operator="between" showDropDown="false" showErrorMessage="false" showInputMessage="false" sqref="B13:B23 B25:C45" type="list">
      <formula1>"Стела,Тумба,Цветник"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6.75"/>
    <col collapsed="false" customWidth="true" hidden="false" outlineLevel="0" max="3" min="3" style="0" width="10.88"/>
    <col collapsed="false" customWidth="true" hidden="false" outlineLevel="0" max="4" min="4" style="0" width="7.3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7.63"/>
    <col collapsed="false" customWidth="true" hidden="false" outlineLevel="0" max="8" min="8" style="0" width="7.75"/>
    <col collapsed="false" customWidth="true" hidden="false" outlineLevel="0" max="9" min="9" style="0" width="11.12"/>
    <col collapsed="false" customWidth="true" hidden="false" outlineLevel="0" max="10" min="10" style="0" width="9.88"/>
    <col collapsed="false" customWidth="true" hidden="false" outlineLevel="0" max="11" min="11" style="0" width="11.75"/>
    <col collapsed="false" customWidth="true" hidden="false" outlineLevel="0" max="13" min="12" style="0" width="12.88"/>
    <col collapsed="false" customWidth="true" hidden="false" outlineLevel="0" max="26" min="14" style="0" width="7.63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52"/>
      <c r="C2" s="52"/>
      <c r="D2" s="53" t="s">
        <v>32</v>
      </c>
      <c r="E2" s="53"/>
      <c r="F2" s="53"/>
      <c r="G2" s="54"/>
      <c r="H2" s="52"/>
      <c r="I2" s="52"/>
      <c r="J2" s="52"/>
      <c r="K2" s="52"/>
      <c r="L2" s="52"/>
      <c r="M2" s="52"/>
    </row>
    <row r="3" customFormat="false" ht="12.75" hidden="false" customHeight="true" outlineLevel="0" collapsed="false">
      <c r="B3" s="55" t="s">
        <v>33</v>
      </c>
      <c r="C3" s="56" t="s">
        <v>2</v>
      </c>
      <c r="D3" s="55" t="s">
        <v>3</v>
      </c>
      <c r="E3" s="55" t="s">
        <v>34</v>
      </c>
      <c r="F3" s="56" t="s">
        <v>35</v>
      </c>
      <c r="G3" s="55" t="s">
        <v>36</v>
      </c>
      <c r="H3" s="55" t="s">
        <v>37</v>
      </c>
      <c r="I3" s="56" t="s">
        <v>38</v>
      </c>
      <c r="J3" s="55" t="s">
        <v>39</v>
      </c>
      <c r="K3" s="56" t="s">
        <v>40</v>
      </c>
      <c r="L3" s="55" t="s">
        <v>41</v>
      </c>
      <c r="M3" s="57" t="s">
        <v>25</v>
      </c>
    </row>
    <row r="4" customFormat="false" ht="12.75" hidden="false" customHeight="true" outlineLevel="0" collapsed="false">
      <c r="B4" s="58" t="s">
        <v>10</v>
      </c>
      <c r="C4" s="59" t="s">
        <v>11</v>
      </c>
      <c r="D4" s="60" t="n">
        <v>800</v>
      </c>
      <c r="E4" s="61" t="n">
        <v>400</v>
      </c>
      <c r="F4" s="60" t="n">
        <v>80</v>
      </c>
      <c r="G4" s="62" t="n">
        <v>2</v>
      </c>
      <c r="H4" s="62"/>
      <c r="I4" s="63" t="n">
        <f aca="false">(D4*E4*F4/1000000000)*H4</f>
        <v>0</v>
      </c>
      <c r="J4" s="64" t="n">
        <f aca="false">(D4*E4*F4*3200/1000000000)*H4</f>
        <v>0</v>
      </c>
      <c r="K4" s="65" t="n">
        <v>5953</v>
      </c>
      <c r="L4" s="66" t="n">
        <f aca="false">H4*K4</f>
        <v>0</v>
      </c>
      <c r="M4" s="67" t="e">
        <f aca="false">L4/I4</f>
        <v>#DIV/0!</v>
      </c>
    </row>
    <row r="5" customFormat="false" ht="12.75" hidden="false" customHeight="true" outlineLevel="0" collapsed="false">
      <c r="B5" s="68" t="s">
        <v>26</v>
      </c>
      <c r="C5" s="69" t="s">
        <v>11</v>
      </c>
      <c r="D5" s="70" t="n">
        <v>1000</v>
      </c>
      <c r="E5" s="71" t="n">
        <v>500</v>
      </c>
      <c r="F5" s="70" t="n">
        <v>80</v>
      </c>
      <c r="G5" s="69" t="n">
        <v>2</v>
      </c>
      <c r="H5" s="69"/>
      <c r="I5" s="72" t="n">
        <f aca="false">(D5*E5*F5/1000000000)*H5</f>
        <v>0</v>
      </c>
      <c r="J5" s="73" t="n">
        <f aca="false">(D5*E5*F5*3200/1000000000)*H5</f>
        <v>0</v>
      </c>
      <c r="K5" s="74" t="n">
        <v>9302</v>
      </c>
      <c r="L5" s="75" t="n">
        <f aca="false">H5*K5</f>
        <v>0</v>
      </c>
      <c r="M5" s="76" t="e">
        <f aca="false">L5/I5</f>
        <v>#DIV/0!</v>
      </c>
    </row>
    <row r="6" customFormat="false" ht="12.75" hidden="false" customHeight="true" outlineLevel="0" collapsed="false">
      <c r="B6" s="68" t="s">
        <v>10</v>
      </c>
      <c r="C6" s="69" t="s">
        <v>11</v>
      </c>
      <c r="D6" s="70" t="n">
        <v>1000</v>
      </c>
      <c r="E6" s="71" t="n">
        <v>600</v>
      </c>
      <c r="F6" s="70" t="n">
        <v>80</v>
      </c>
      <c r="G6" s="69" t="n">
        <v>2</v>
      </c>
      <c r="H6" s="69" t="n">
        <v>82</v>
      </c>
      <c r="I6" s="72" t="n">
        <f aca="false">(D6*E6*F6/1000000000)*H6</f>
        <v>3.936</v>
      </c>
      <c r="J6" s="73" t="n">
        <f aca="false">(D6*E6*F6*3200/1000000000)*H6</f>
        <v>12595.2</v>
      </c>
      <c r="K6" s="74" t="n">
        <v>11163</v>
      </c>
      <c r="L6" s="75" t="n">
        <f aca="false">H6*K6</f>
        <v>915366</v>
      </c>
      <c r="M6" s="76" t="n">
        <f aca="false">L6/I6</f>
        <v>232562.5</v>
      </c>
    </row>
    <row r="7" customFormat="false" ht="12.75" hidden="false" customHeight="true" outlineLevel="0" collapsed="false">
      <c r="B7" s="68" t="s">
        <v>12</v>
      </c>
      <c r="C7" s="69" t="s">
        <v>11</v>
      </c>
      <c r="D7" s="70" t="n">
        <v>500</v>
      </c>
      <c r="E7" s="71" t="n">
        <v>200</v>
      </c>
      <c r="F7" s="70" t="n">
        <v>120</v>
      </c>
      <c r="G7" s="69" t="n">
        <v>2</v>
      </c>
      <c r="H7" s="69" t="n">
        <v>82</v>
      </c>
      <c r="I7" s="72" t="n">
        <f aca="false">(D7*E7*F7/1000000000)*H7</f>
        <v>0.984</v>
      </c>
      <c r="J7" s="73" t="n">
        <f aca="false">(D7*E7*F7*3200/1000000000)*H7</f>
        <v>3148.8</v>
      </c>
      <c r="K7" s="74" t="n">
        <v>3616</v>
      </c>
      <c r="L7" s="75" t="n">
        <f aca="false">H7*K7</f>
        <v>296512</v>
      </c>
      <c r="M7" s="76" t="n">
        <f aca="false">L7/I7</f>
        <v>301333.333333333</v>
      </c>
    </row>
    <row r="8" customFormat="false" ht="12.75" hidden="false" customHeight="true" outlineLevel="0" collapsed="false">
      <c r="B8" s="68" t="s">
        <v>12</v>
      </c>
      <c r="C8" s="69" t="s">
        <v>11</v>
      </c>
      <c r="D8" s="70" t="n">
        <v>500</v>
      </c>
      <c r="E8" s="71" t="n">
        <v>200</v>
      </c>
      <c r="F8" s="70" t="n">
        <v>150</v>
      </c>
      <c r="G8" s="69" t="n">
        <v>5</v>
      </c>
      <c r="H8" s="69"/>
      <c r="I8" s="72" t="n">
        <f aca="false">(D8*E8*F8/1000000000)*H8</f>
        <v>0</v>
      </c>
      <c r="J8" s="73" t="n">
        <f aca="false">(D8*E8*F8*3200/1000000000)*H8</f>
        <v>0</v>
      </c>
      <c r="K8" s="74" t="n">
        <v>3616</v>
      </c>
      <c r="L8" s="75" t="n">
        <f aca="false">H8*K8</f>
        <v>0</v>
      </c>
      <c r="M8" s="76" t="e">
        <f aca="false">L8/I8</f>
        <v>#DIV/0!</v>
      </c>
    </row>
    <row r="9" customFormat="false" ht="12.75" hidden="false" customHeight="true" outlineLevel="0" collapsed="false">
      <c r="B9" s="68" t="s">
        <v>12</v>
      </c>
      <c r="C9" s="69" t="s">
        <v>11</v>
      </c>
      <c r="D9" s="70" t="n">
        <v>600</v>
      </c>
      <c r="E9" s="71" t="n">
        <v>200</v>
      </c>
      <c r="F9" s="70" t="n">
        <v>150</v>
      </c>
      <c r="G9" s="69" t="n">
        <v>5</v>
      </c>
      <c r="H9" s="69"/>
      <c r="I9" s="72" t="n">
        <f aca="false">(D9*E9*F9/1000000000)*H9</f>
        <v>0</v>
      </c>
      <c r="J9" s="73" t="n">
        <f aca="false">(D9*E9*F9*3200/1000000000)*H9</f>
        <v>0</v>
      </c>
      <c r="K9" s="74" t="n">
        <v>4339</v>
      </c>
      <c r="L9" s="75" t="n">
        <f aca="false">H9*K9</f>
        <v>0</v>
      </c>
      <c r="M9" s="76" t="e">
        <f aca="false">L9/I9</f>
        <v>#DIV/0!</v>
      </c>
    </row>
    <row r="10" customFormat="false" ht="12.75" hidden="false" customHeight="true" outlineLevel="0" collapsed="false">
      <c r="B10" s="77" t="s">
        <v>13</v>
      </c>
      <c r="C10" s="78" t="s">
        <v>11</v>
      </c>
      <c r="D10" s="70" t="n">
        <v>1000</v>
      </c>
      <c r="E10" s="71" t="n">
        <v>80</v>
      </c>
      <c r="F10" s="70" t="n">
        <v>80</v>
      </c>
      <c r="G10" s="69" t="n">
        <v>2</v>
      </c>
      <c r="H10" s="78" t="n">
        <v>164</v>
      </c>
      <c r="I10" s="72" t="n">
        <f aca="false">(D10*E10*F10/1000000000)*H10</f>
        <v>1.0496</v>
      </c>
      <c r="J10" s="73" t="n">
        <f aca="false">(D10*E10*F10*3200/1000000000)*H10</f>
        <v>3358.72</v>
      </c>
      <c r="K10" s="74" t="n">
        <v>1488</v>
      </c>
      <c r="L10" s="75" t="n">
        <f aca="false">H10*K10</f>
        <v>244032</v>
      </c>
      <c r="M10" s="76" t="n">
        <f aca="false">L10/I10</f>
        <v>232500</v>
      </c>
    </row>
    <row r="11" customFormat="false" ht="12.75" hidden="false" customHeight="true" outlineLevel="0" collapsed="false">
      <c r="B11" s="77" t="s">
        <v>13</v>
      </c>
      <c r="C11" s="78" t="s">
        <v>11</v>
      </c>
      <c r="D11" s="70" t="n">
        <v>500</v>
      </c>
      <c r="E11" s="71" t="n">
        <v>80</v>
      </c>
      <c r="F11" s="70" t="n">
        <v>80</v>
      </c>
      <c r="G11" s="69" t="n">
        <v>4</v>
      </c>
      <c r="H11" s="78" t="n">
        <v>82</v>
      </c>
      <c r="I11" s="72" t="n">
        <f aca="false">(D11*E11*F11/1000000000)*H11</f>
        <v>0.2624</v>
      </c>
      <c r="J11" s="73" t="n">
        <f aca="false">(D11*E11*F11*3200/1000000000)*H11</f>
        <v>839.68</v>
      </c>
      <c r="K11" s="74" t="n">
        <v>744</v>
      </c>
      <c r="L11" s="75" t="n">
        <f aca="false">H11*K11</f>
        <v>61008</v>
      </c>
      <c r="M11" s="76" t="n">
        <f aca="false">L11/I11</f>
        <v>232500</v>
      </c>
    </row>
    <row r="12" customFormat="false" ht="12.75" hidden="false" customHeight="true" outlineLevel="0" collapsed="false">
      <c r="B12" s="77" t="s">
        <v>13</v>
      </c>
      <c r="C12" s="78" t="s">
        <v>11</v>
      </c>
      <c r="D12" s="70" t="n">
        <v>800</v>
      </c>
      <c r="E12" s="71" t="n">
        <v>80</v>
      </c>
      <c r="F12" s="70" t="n">
        <v>80</v>
      </c>
      <c r="G12" s="69" t="n">
        <v>2</v>
      </c>
      <c r="H12" s="78"/>
      <c r="I12" s="72" t="n">
        <f aca="false">(D12*E12*F12/1000000000)*H12</f>
        <v>0</v>
      </c>
      <c r="J12" s="73" t="n">
        <f aca="false">(D12*E12*F12*3200/1000000000)*H12</f>
        <v>0</v>
      </c>
      <c r="K12" s="74" t="n">
        <v>1191</v>
      </c>
      <c r="L12" s="75" t="n">
        <f aca="false">H12*K12</f>
        <v>0</v>
      </c>
      <c r="M12" s="76" t="e">
        <f aca="false">L12/I12</f>
        <v>#DIV/0!</v>
      </c>
    </row>
    <row r="13" customFormat="false" ht="12.75" hidden="false" customHeight="true" outlineLevel="0" collapsed="false">
      <c r="B13" s="79" t="s">
        <v>12</v>
      </c>
      <c r="C13" s="80" t="s">
        <v>11</v>
      </c>
      <c r="D13" s="81" t="n">
        <v>500</v>
      </c>
      <c r="E13" s="82" t="n">
        <v>200</v>
      </c>
      <c r="F13" s="81" t="n">
        <v>120</v>
      </c>
      <c r="G13" s="83" t="n">
        <v>5</v>
      </c>
      <c r="H13" s="80"/>
      <c r="I13" s="84" t="n">
        <f aca="false">(D13*E13*F13/1000000000)*H13</f>
        <v>0</v>
      </c>
      <c r="J13" s="85" t="n">
        <f aca="false">(D13*E13*F13*3200/1000000000)*H13</f>
        <v>0</v>
      </c>
      <c r="K13" s="86" t="n">
        <v>3616</v>
      </c>
      <c r="L13" s="87" t="n">
        <f aca="false">H13*K13</f>
        <v>0</v>
      </c>
      <c r="M13" s="88" t="e">
        <f aca="false">L13/I13</f>
        <v>#DIV/0!</v>
      </c>
    </row>
    <row r="14" customFormat="false" ht="12.75" hidden="false" customHeight="true" outlineLevel="0" collapsed="false">
      <c r="I14" s="51"/>
      <c r="J14" s="51"/>
      <c r="K14" s="51"/>
      <c r="L14" s="51"/>
      <c r="M14" s="89"/>
    </row>
    <row r="15" customFormat="false" ht="12.75" hidden="false" customHeight="true" outlineLevel="0" collapsed="false">
      <c r="E15" s="90" t="s">
        <v>42</v>
      </c>
      <c r="F15" s="90"/>
      <c r="G15" s="90"/>
      <c r="H15" s="90"/>
      <c r="I15" s="91" t="n">
        <f aca="false">SUM(I4:I14)</f>
        <v>6.232</v>
      </c>
      <c r="J15" s="91" t="n">
        <f aca="false">SUM(J4:J14)</f>
        <v>19942.4</v>
      </c>
      <c r="K15" s="91"/>
      <c r="L15" s="92" t="n">
        <f aca="false">SUM(L4:L14)</f>
        <v>1516918</v>
      </c>
      <c r="M15" s="89"/>
    </row>
    <row r="16" customFormat="false" ht="12.75" hidden="false" customHeight="true" outlineLevel="0" collapsed="false">
      <c r="I16" s="51"/>
      <c r="J16" s="51"/>
      <c r="K16" s="51"/>
      <c r="L16" s="51"/>
    </row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D2:F2"/>
    <mergeCell ref="E15:H15"/>
  </mergeCells>
  <dataValidations count="2">
    <dataValidation allowBlank="true" errorStyle="stop" operator="between" showDropDown="false" showErrorMessage="false" showInputMessage="false" sqref="C4:C13" type="custom">
      <formula1>"Стела;Тумба;Цветник"</formula1>
      <formula2>0</formula2>
    </dataValidation>
    <dataValidation allowBlank="true" errorStyle="stop" operator="between" showDropDown="false" showErrorMessage="false" showInputMessage="false" sqref="B4:B13" type="list">
      <formula1>"Стела,Тумба,Цветник"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6.75"/>
    <col collapsed="false" customWidth="true" hidden="false" outlineLevel="0" max="3" min="3" style="0" width="10.88"/>
    <col collapsed="false" customWidth="true" hidden="false" outlineLevel="0" max="4" min="4" style="0" width="7.3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7.63"/>
    <col collapsed="false" customWidth="true" hidden="false" outlineLevel="0" max="8" min="8" style="0" width="7.75"/>
    <col collapsed="false" customWidth="true" hidden="false" outlineLevel="0" max="9" min="9" style="0" width="11.12"/>
    <col collapsed="false" customWidth="true" hidden="false" outlineLevel="0" max="10" min="10" style="0" width="9.88"/>
    <col collapsed="false" customWidth="true" hidden="false" outlineLevel="0" max="11" min="11" style="0" width="14.51"/>
    <col collapsed="false" customWidth="true" hidden="false" outlineLevel="0" max="12" min="12" style="0" width="17"/>
    <col collapsed="false" customWidth="true" hidden="false" outlineLevel="0" max="13" min="13" style="0" width="7.63"/>
    <col collapsed="false" customWidth="true" hidden="false" outlineLevel="0" max="14" min="14" style="0" width="16"/>
    <col collapsed="false" customWidth="true" hidden="false" outlineLevel="0" max="26" min="15" style="0" width="7.63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52"/>
      <c r="C2" s="52"/>
      <c r="D2" s="53" t="s">
        <v>32</v>
      </c>
      <c r="E2" s="53"/>
      <c r="F2" s="53"/>
      <c r="G2" s="54"/>
      <c r="H2" s="52"/>
      <c r="I2" s="52"/>
      <c r="J2" s="52"/>
    </row>
    <row r="3" customFormat="false" ht="12.75" hidden="false" customHeight="true" outlineLevel="0" collapsed="false">
      <c r="B3" s="55" t="s">
        <v>33</v>
      </c>
      <c r="C3" s="93" t="s">
        <v>2</v>
      </c>
      <c r="D3" s="55" t="s">
        <v>3</v>
      </c>
      <c r="E3" s="55" t="s">
        <v>34</v>
      </c>
      <c r="F3" s="56" t="s">
        <v>35</v>
      </c>
      <c r="G3" s="55" t="s">
        <v>36</v>
      </c>
      <c r="H3" s="55" t="s">
        <v>37</v>
      </c>
      <c r="I3" s="56" t="s">
        <v>38</v>
      </c>
      <c r="J3" s="93" t="s">
        <v>39</v>
      </c>
      <c r="K3" s="55" t="s">
        <v>43</v>
      </c>
      <c r="L3" s="55" t="s">
        <v>44</v>
      </c>
      <c r="N3" s="55" t="s">
        <v>45</v>
      </c>
    </row>
    <row r="4" customFormat="false" ht="12.75" hidden="false" customHeight="true" outlineLevel="0" collapsed="false">
      <c r="B4" s="94" t="s">
        <v>10</v>
      </c>
      <c r="C4" s="95" t="s">
        <v>46</v>
      </c>
      <c r="D4" s="96" t="n">
        <v>2100</v>
      </c>
      <c r="E4" s="96" t="n">
        <v>150</v>
      </c>
      <c r="F4" s="96" t="n">
        <v>150</v>
      </c>
      <c r="G4" s="97" t="n">
        <v>3</v>
      </c>
      <c r="H4" s="97" t="n">
        <v>110</v>
      </c>
      <c r="I4" s="95" t="n">
        <f aca="false">(D4*E4*F4/1000000000)*H4</f>
        <v>5.1975</v>
      </c>
      <c r="J4" s="98" t="n">
        <f aca="false">(D4*E4*F4*3200/1000000000)*H4</f>
        <v>16632</v>
      </c>
      <c r="K4" s="99" t="n">
        <v>13500</v>
      </c>
      <c r="L4" s="100" t="n">
        <f aca="false">K4*H4</f>
        <v>1485000</v>
      </c>
      <c r="M4" s="52"/>
      <c r="N4" s="101" t="n">
        <f aca="false">L4/I4</f>
        <v>285714.285714286</v>
      </c>
    </row>
    <row r="5" customFormat="false" ht="12.75" hidden="false" customHeight="true" outlineLevel="0" collapsed="false">
      <c r="B5" s="102" t="s">
        <v>26</v>
      </c>
      <c r="C5" s="95" t="s">
        <v>46</v>
      </c>
      <c r="D5" s="103" t="n">
        <v>200</v>
      </c>
      <c r="E5" s="103" t="n">
        <v>200</v>
      </c>
      <c r="F5" s="103" t="n">
        <v>200</v>
      </c>
      <c r="G5" s="104" t="n">
        <v>5</v>
      </c>
      <c r="H5" s="105" t="n">
        <v>120</v>
      </c>
      <c r="I5" s="106" t="n">
        <f aca="false">(D5*E5*F5/1000000000)*H5</f>
        <v>0.96</v>
      </c>
      <c r="J5" s="107" t="n">
        <f aca="false">(D5*E5*F5*3200/1000000000)*H5</f>
        <v>3072</v>
      </c>
      <c r="K5" s="108" t="n">
        <v>2700</v>
      </c>
      <c r="L5" s="109" t="n">
        <f aca="false">K5*H5</f>
        <v>324000</v>
      </c>
      <c r="M5" s="52"/>
      <c r="N5" s="110" t="n">
        <f aca="false">L5/I5</f>
        <v>337500</v>
      </c>
    </row>
    <row r="6" customFormat="false" ht="12.75" hidden="false" customHeight="true" outlineLevel="0" collapsed="false">
      <c r="B6" s="102" t="s">
        <v>10</v>
      </c>
      <c r="C6" s="95" t="s">
        <v>46</v>
      </c>
      <c r="D6" s="103" t="n">
        <v>2200</v>
      </c>
      <c r="E6" s="103" t="n">
        <v>70</v>
      </c>
      <c r="F6" s="103" t="n">
        <v>70</v>
      </c>
      <c r="G6" s="104" t="n">
        <v>1</v>
      </c>
      <c r="H6" s="105" t="n">
        <v>30</v>
      </c>
      <c r="I6" s="106" t="n">
        <f aca="false">(D6*E6*F6/1000000000)*H6</f>
        <v>0.3234</v>
      </c>
      <c r="J6" s="107" t="n">
        <f aca="false">(D6*E6*F6*3200/1000000000)*H6</f>
        <v>1034.88</v>
      </c>
      <c r="K6" s="108" t="n">
        <v>5500</v>
      </c>
      <c r="L6" s="109" t="n">
        <f aca="false">K6*H6</f>
        <v>165000</v>
      </c>
      <c r="M6" s="52"/>
      <c r="N6" s="111" t="n">
        <f aca="false">L6/I6</f>
        <v>510204.081632653</v>
      </c>
    </row>
    <row r="7" customFormat="false" ht="12.75" hidden="false" customHeight="true" outlineLevel="0" collapsed="false">
      <c r="B7" s="112" t="s">
        <v>13</v>
      </c>
      <c r="C7" s="106" t="s">
        <v>47</v>
      </c>
      <c r="D7" s="103" t="n">
        <v>1200</v>
      </c>
      <c r="E7" s="103" t="n">
        <v>80</v>
      </c>
      <c r="F7" s="103" t="n">
        <v>60</v>
      </c>
      <c r="G7" s="104" t="n">
        <v>1</v>
      </c>
      <c r="H7" s="104" t="n">
        <v>63</v>
      </c>
      <c r="I7" s="106" t="n">
        <f aca="false">(D7*E7*F7/1000000000)*H7</f>
        <v>0.36288</v>
      </c>
      <c r="J7" s="107" t="n">
        <f aca="false">(D7*E7*F7*3200/1000000000)*H7</f>
        <v>1161.216</v>
      </c>
      <c r="K7" s="103" t="n">
        <v>1008</v>
      </c>
      <c r="L7" s="109" t="n">
        <f aca="false">K7*H7</f>
        <v>63504</v>
      </c>
      <c r="M7" s="52"/>
      <c r="N7" s="111" t="n">
        <f aca="false">L7/I7</f>
        <v>175000</v>
      </c>
    </row>
    <row r="8" customFormat="false" ht="12.75" hidden="false" customHeight="true" outlineLevel="0" collapsed="false">
      <c r="B8" s="112"/>
      <c r="C8" s="106"/>
      <c r="D8" s="113"/>
      <c r="E8" s="113"/>
      <c r="F8" s="113"/>
      <c r="G8" s="106"/>
      <c r="H8" s="106"/>
      <c r="I8" s="106" t="n">
        <f aca="false">(D8*E8*F8/1000000000)*H8</f>
        <v>0</v>
      </c>
      <c r="J8" s="107" t="n">
        <f aca="false">(D8*E8*F8*3200/1000000000)*H8</f>
        <v>0</v>
      </c>
      <c r="K8" s="114"/>
      <c r="L8" s="109" t="n">
        <f aca="false">K8*H8</f>
        <v>0</v>
      </c>
      <c r="M8" s="52"/>
      <c r="N8" s="111" t="e">
        <f aca="false">L8/I8</f>
        <v>#DIV/0!</v>
      </c>
    </row>
    <row r="9" customFormat="false" ht="12.75" hidden="false" customHeight="true" outlineLevel="0" collapsed="false">
      <c r="B9" s="115"/>
      <c r="C9" s="116"/>
      <c r="D9" s="116"/>
      <c r="E9" s="116"/>
      <c r="F9" s="116"/>
      <c r="G9" s="116"/>
      <c r="H9" s="116"/>
      <c r="I9" s="117" t="n">
        <f aca="false">(D9*E9*F9/1000000000)*H9</f>
        <v>0</v>
      </c>
      <c r="J9" s="118" t="n">
        <f aca="false">(D9*E9*F9*3200/1000000000)*H9</f>
        <v>0</v>
      </c>
      <c r="K9" s="116"/>
      <c r="L9" s="119"/>
      <c r="N9" s="111" t="e">
        <f aca="false">L9/I9</f>
        <v>#DIV/0!</v>
      </c>
    </row>
    <row r="10" customFormat="false" ht="12.75" hidden="false" customHeight="true" outlineLevel="0" collapsed="false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120"/>
    </row>
    <row r="11" customFormat="false" ht="12.75" hidden="false" customHeight="true" outlineLevel="0" collapsed="false">
      <c r="B11" s="51"/>
      <c r="H11" s="51"/>
      <c r="I11" s="91" t="n">
        <f aca="false">SUM(I4:I9)</f>
        <v>6.84378</v>
      </c>
      <c r="J11" s="91" t="n">
        <f aca="false">SUM(J4:J9)</f>
        <v>21900.096</v>
      </c>
      <c r="K11" s="91"/>
      <c r="L11" s="121" t="n">
        <f aca="false">SUM(L4:L9)</f>
        <v>2037504</v>
      </c>
      <c r="M11" s="51"/>
      <c r="N11" s="121" t="n">
        <f aca="false">L11/I11</f>
        <v>297716.1744</v>
      </c>
    </row>
    <row r="12" customFormat="false" ht="12.75" hidden="false" customHeight="true" outlineLevel="0" collapsed="false">
      <c r="H12" s="51"/>
      <c r="I12" s="51"/>
      <c r="J12" s="51"/>
      <c r="K12" s="51"/>
      <c r="L12" s="51"/>
      <c r="M12" s="51"/>
    </row>
    <row r="13" customFormat="false" ht="12.75" hidden="false" customHeight="true" outlineLevel="0" collapsed="false">
      <c r="H13" s="51"/>
      <c r="I13" s="51"/>
      <c r="J13" s="51"/>
      <c r="K13" s="51"/>
      <c r="L13" s="51"/>
      <c r="M13" s="51"/>
    </row>
    <row r="14" customFormat="false" ht="12.75" hidden="false" customHeight="true" outlineLevel="0" collapsed="false">
      <c r="H14" s="51"/>
      <c r="I14" s="51"/>
      <c r="J14" s="51"/>
      <c r="K14" s="51"/>
      <c r="L14" s="51"/>
      <c r="M14" s="51"/>
    </row>
    <row r="15" customFormat="false" ht="12.75" hidden="false" customHeight="true" outlineLevel="0" collapsed="false">
      <c r="H15" s="51"/>
      <c r="I15" s="51"/>
      <c r="J15" s="51"/>
      <c r="K15" s="51"/>
      <c r="L15" s="51"/>
      <c r="M15" s="51"/>
    </row>
    <row r="16" customFormat="false" ht="12.75" hidden="false" customHeight="true" outlineLevel="0" collapsed="false">
      <c r="H16" s="51"/>
      <c r="I16" s="51"/>
      <c r="J16" s="51"/>
      <c r="K16" s="51"/>
      <c r="L16" s="51"/>
      <c r="M16" s="51"/>
    </row>
    <row r="17" customFormat="false" ht="12.75" hidden="false" customHeight="true" outlineLevel="0" collapsed="false">
      <c r="H17" s="51"/>
      <c r="I17" s="51"/>
      <c r="J17" s="51"/>
      <c r="K17" s="51"/>
      <c r="L17" s="51"/>
      <c r="M17" s="51"/>
    </row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D2:F2"/>
  </mergeCells>
  <dataValidations count="2">
    <dataValidation allowBlank="true" errorStyle="stop" operator="between" showDropDown="false" showErrorMessage="false" showInputMessage="false" sqref="C4:C8" type="custom">
      <formula1>"Стела;Тумба;Цветник"</formula1>
      <formula2>0</formula2>
    </dataValidation>
    <dataValidation allowBlank="true" errorStyle="stop" operator="between" showDropDown="false" showErrorMessage="false" showInputMessage="false" sqref="B4:B8" type="list">
      <formula1>"Стела,Тумба,Цветник"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2020-11-26T13:10:40Z</dcterms:created>
  <dc:creator>DruzhininaOV</dc:creator>
  <dc:description/>
  <dc:language>ru-RU</dc:language>
  <cp:lastModifiedBy/>
  <dcterms:modified xsi:type="dcterms:W3CDTF">2026-10-05T21:10:44Z</dcterms:modified>
  <cp:revision>1</cp:revision>
  <dc:subject/>
  <dc:title/>
</cp:coreProperties>
</file>